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isbo\OneDrive\Documents\"/>
    </mc:Choice>
  </mc:AlternateContent>
  <xr:revisionPtr revIDLastSave="0" documentId="13_ncr:1_{A462D3F5-13BE-4C9F-AC78-A4661FA9B20F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00_Dashboard" sheetId="1" r:id="rId1"/>
    <sheet name="1_Planejamento" sheetId="2" r:id="rId2"/>
    <sheet name="02_Operacoes" sheetId="3" r:id="rId3"/>
    <sheet name="Painel" sheetId="10" r:id="rId4"/>
    <sheet name="SAP" sheetId="9" r:id="rId5"/>
    <sheet name="Visão Geral Mensal" sheetId="11" r:id="rId6"/>
  </sheets>
  <functionGroups builtInGroupCount="19"/>
  <definedNames>
    <definedName name="APS_CFG_CAL_EXC_1" hidden="1">""</definedName>
    <definedName name="APS_CFG_CAL_PAR_1" hidden="1">""</definedName>
    <definedName name="APS_CFG_CAL_SEM_1" hidden="1">"1;S;00:00;00:00|2;S;00:00;00:00|3;S;00:00;00:00|4;S;00:00;00:00|5;S;00:00;00:00|6;S;00:00;22:00|7;S;06:00;22:00"</definedName>
    <definedName name="APS_CFG_OEE_PADRAO_1" hidden="1">"100"</definedName>
    <definedName name="APS_CFG_PAR_REG_1" hidden="1">"1|1|Mediseal|906655|4000000|Comprimidos;2|2|Mediseal|906655|30|Comprimidos/caixa;3|7|Mediseal|906655|200|Caixas/minuto;4|8|Granulação||400|kg"</definedName>
    <definedName name="APS_CFG_PROXID_1" hidden="1">"21"</definedName>
    <definedName name="APS_CFG_STAUTO_1" hidden="1">"2|C|66681240|66682160;3|C|66686700|66687180;-2|C|66681120|66681240"</definedName>
  </definedNames>
  <calcPr calcId="191029"/>
</workbook>
</file>

<file path=xl/calcChain.xml><?xml version="1.0" encoding="utf-8"?>
<calcChain xmlns="http://schemas.openxmlformats.org/spreadsheetml/2006/main">
  <c r="K4" i="1" l="1"/>
  <c r="I4" i="1"/>
  <c r="G4" i="1"/>
  <c r="E4" i="1"/>
  <c r="C4" i="1"/>
  <c r="A4" i="1"/>
  <c r="M4" i="1"/>
</calcChain>
</file>

<file path=xl/sharedStrings.xml><?xml version="1.0" encoding="utf-8"?>
<sst xmlns="http://schemas.openxmlformats.org/spreadsheetml/2006/main" count="1805" uniqueCount="154">
  <si>
    <t>APS | PAINEL EXECUTIVO DE PRODUÇÃO</t>
  </si>
  <si>
    <t>Total de OPs</t>
  </si>
  <si>
    <t>Planejadas</t>
  </si>
  <si>
    <t>Em Andamento</t>
  </si>
  <si>
    <t>Concluídas</t>
  </si>
  <si>
    <t>Atrasadas</t>
  </si>
  <si>
    <t>Horas Totais</t>
  </si>
  <si>
    <t>Ocupação Média</t>
  </si>
  <si>
    <t>Área / Máquina</t>
  </si>
  <si>
    <t>▼</t>
  </si>
  <si>
    <t>HORA</t>
  </si>
  <si>
    <t>00h</t>
  </si>
  <si>
    <t>01h</t>
  </si>
  <si>
    <t>02h</t>
  </si>
  <si>
    <t>03h</t>
  </si>
  <si>
    <t>04h</t>
  </si>
  <si>
    <t>05h</t>
  </si>
  <si>
    <t>06h</t>
  </si>
  <si>
    <t>07h</t>
  </si>
  <si>
    <t>08h</t>
  </si>
  <si>
    <t>09h</t>
  </si>
  <si>
    <t>10h</t>
  </si>
  <si>
    <t>11h</t>
  </si>
  <si>
    <t>12h</t>
  </si>
  <si>
    <t>13h</t>
  </si>
  <si>
    <t>14h</t>
  </si>
  <si>
    <t>15h</t>
  </si>
  <si>
    <t>16h</t>
  </si>
  <si>
    <t>17h</t>
  </si>
  <si>
    <t>18h</t>
  </si>
  <si>
    <t>19h</t>
  </si>
  <si>
    <t>20h</t>
  </si>
  <si>
    <t>21h</t>
  </si>
  <si>
    <t>22h</t>
  </si>
  <si>
    <t>23h</t>
  </si>
  <si>
    <t>SALA DE MISTURA</t>
  </si>
  <si>
    <t>FETTE 2090</t>
  </si>
  <si>
    <t>FETTE 2</t>
  </si>
  <si>
    <t>MEDISEAL</t>
  </si>
  <si>
    <t>BLISTERFLEX</t>
  </si>
  <si>
    <t>GRANULAÇÃO</t>
  </si>
  <si>
    <t>Produto</t>
  </si>
  <si>
    <t>Lote</t>
  </si>
  <si>
    <t>Máquina</t>
  </si>
  <si>
    <t>OEE</t>
  </si>
  <si>
    <t>Código do Produto</t>
  </si>
  <si>
    <t>Data de Início</t>
  </si>
  <si>
    <t>Data de Fim</t>
  </si>
  <si>
    <t>Planejamento</t>
  </si>
  <si>
    <t>Observações</t>
  </si>
  <si>
    <t>Quantidade de Caixas</t>
  </si>
  <si>
    <t>Duração</t>
  </si>
  <si>
    <t>ID</t>
  </si>
  <si>
    <t>Velocidade-base</t>
  </si>
  <si>
    <t xml:space="preserve">       PLANEJAMENTO </t>
  </si>
  <si>
    <t>Mês do planejamento (1_Planejamento!A1): (não definido - preencha 1_Planejamento!A1)</t>
  </si>
  <si>
    <t>Ordem SAP</t>
  </si>
  <si>
    <t>Hora de Início</t>
  </si>
  <si>
    <t>Duração (hh:mm)</t>
  </si>
  <si>
    <t>Qtd. Caixas</t>
  </si>
  <si>
    <t>OEE (%)</t>
  </si>
  <si>
    <t>Situação</t>
  </si>
  <si>
    <t>Prévia - operação</t>
  </si>
  <si>
    <t>Antes</t>
  </si>
  <si>
    <t>Depois</t>
  </si>
  <si>
    <t>Motivo</t>
  </si>
  <si>
    <t xml:space="preserve">                                                                        SAP - ORDENS PARA ORGANIZAR</t>
  </si>
  <si>
    <t>OP</t>
  </si>
  <si>
    <t>Setup</t>
  </si>
  <si>
    <t>906666</t>
  </si>
  <si>
    <t>Puran T4 62,5 mcg</t>
  </si>
  <si>
    <t>558855</t>
  </si>
  <si>
    <t>Mediseal</t>
  </si>
  <si>
    <t>0468</t>
  </si>
  <si>
    <t>Atraso</t>
  </si>
  <si>
    <t>Concluída</t>
  </si>
  <si>
    <t>Período</t>
  </si>
  <si>
    <t>Mensal</t>
  </si>
  <si>
    <t>Todas</t>
  </si>
  <si>
    <t>Sala de Mistura</t>
  </si>
  <si>
    <t>Blisterflex</t>
  </si>
  <si>
    <t>Granulação</t>
  </si>
  <si>
    <t>Semestral</t>
  </si>
  <si>
    <t>v2</t>
  </si>
  <si>
    <t>Semanal</t>
  </si>
  <si>
    <t>Anual</t>
  </si>
  <si>
    <t>maquina</t>
  </si>
  <si>
    <t>Painel de produção</t>
  </si>
  <si>
    <t>Filtros</t>
  </si>
  <si>
    <t>Depois de alterar, clique em Atualizar.</t>
  </si>
  <si>
    <t>Data de referência</t>
  </si>
  <si>
    <t>906390</t>
  </si>
  <si>
    <t>Mistura para Puran</t>
  </si>
  <si>
    <t>GPU01454</t>
  </si>
  <si>
    <t>RPU0G1252</t>
  </si>
  <si>
    <t>geral</t>
  </si>
  <si>
    <t/>
  </si>
  <si>
    <t>Visão geral</t>
  </si>
  <si>
    <t>Como está o planejamento</t>
  </si>
  <si>
    <t>Comprimidos planejados</t>
  </si>
  <si>
    <t>120.000</t>
  </si>
  <si>
    <t>quantidade programada, não realizada</t>
  </si>
  <si>
    <t>Período anterior: sem ordens</t>
  </si>
  <si>
    <t>Ocupação das máquinas</t>
  </si>
  <si>
    <t>0,1%</t>
  </si>
  <si>
    <t>horas planejadas ÷ horas do calendário</t>
  </si>
  <si>
    <t>Ordens atrasadas</t>
  </si>
  <si>
    <t>0</t>
  </si>
  <si>
    <t>status Atrasada ou atraso registrado</t>
  </si>
  <si>
    <t>de 2 ordens no período</t>
  </si>
  <si>
    <t>Ordens em conflito</t>
  </si>
  <si>
    <t>horários sobrepostos na mesma máquina</t>
  </si>
  <si>
    <t>Máquinas que precisam de atenção</t>
  </si>
  <si>
    <t>Nenhuma máquina precisa de atenção neste período.</t>
  </si>
  <si>
    <t>Ordens que exigem decisão</t>
  </si>
  <si>
    <t>Ordem ou item</t>
  </si>
  <si>
    <t>Problema</t>
  </si>
  <si>
    <t>Início</t>
  </si>
  <si>
    <t>Nenhum conflito ou atraso neste período.</t>
  </si>
  <si>
    <t>Os valores são PLANEJADOS. O sistema não tem registro de produção real; por isso produção realizada, disponibilidade, desempenho e OEE não são exibidos.</t>
  </si>
  <si>
    <t>Verificação de dados: 1 alerta(s), 0 grave(s).</t>
  </si>
  <si>
    <t>VISÃO GERAL MENSAL</t>
  </si>
  <si>
    <t>somente consulta</t>
  </si>
  <si>
    <t>Consulta do que está na 02_Operacoes. Não altera nenhum registro. Ordens que atravessam a virada do mês aparecem nos dois meses.</t>
  </si>
  <si>
    <t>Mês</t>
  </si>
  <si>
    <t>Ano</t>
  </si>
  <si>
    <t>Máquina (opcional)</t>
  </si>
  <si>
    <t>Status (opcional)</t>
  </si>
  <si>
    <t>Planejada</t>
  </si>
  <si>
    <t>Atrasada</t>
  </si>
  <si>
    <t>Fim</t>
  </si>
  <si>
    <t>Qtd. planejada (caixas)</t>
  </si>
  <si>
    <t>Status</t>
  </si>
  <si>
    <t>Outubro</t>
  </si>
  <si>
    <t>Todos</t>
  </si>
  <si>
    <t>Meses</t>
  </si>
  <si>
    <t>Anos</t>
  </si>
  <si>
    <t>Maquinas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</si>
  <si>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</si>
  <si>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</si>
  <si>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</si>
  <si>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</si>
  <si>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</si>
  <si>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</si>
  <si>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</si>
  <si>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</si>
  <si>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</si>
  <si>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Novembro</t>
  </si>
  <si>
    <t>Dezembro</t>
  </si>
  <si>
    <t>Cancelada</t>
  </si>
  <si>
    <t>Conflito</t>
  </si>
  <si>
    <t>Total: 1 ordem   |   Caixas planejadas (onde informada): 4.000</t>
  </si>
  <si>
    <t>Ordens de Outubro de 2026 — 1 registro</t>
  </si>
  <si>
    <t>Período analisado: 2º semestre de 2026 (01/07 a 31/12)   |   comparado com 01/01/2026 a 30/06/2026   |   atualizado em 21/10/2026 01:17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</si>
</sst>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[h]:mm"/>
    <numFmt numFmtId="166" formatCode="dd/mm/yyyy\ ddd"/>
    <numFmt numFmtId="167" formatCode="&quot;       PLANEJAMENTO &quot;\_x000a_&quot;Mês: &quot;mmmm/yyyy"/>
    <numFmt numFmtId="168" formatCode="0.0"/>
    <numFmt numFmtId="169" formatCode="dd/mm/yyyy\ hh:mm"/>
    <numFmt numFmtId="170" formatCode="dd/mm/yyyy"/>
  </numFmts>
  <fonts count="39" x14ac:knownFonts="1">
    <font>
      <sz val="11"/>
      <color theme="1"/>
      <name val="Calibri"/>
      <family val="2"/>
      <scheme val="minor"/>
    </font>
    <font>
      <b/>
      <sz val="14"/>
      <color rgb="FFFFFFFF"/>
      <name val="Segoe UI"/>
    </font>
    <font>
      <b/>
      <sz val="9"/>
      <color rgb="FF595959"/>
      <name val="Segoe UI"/>
    </font>
    <font>
      <b/>
      <sz val="14"/>
      <color rgb="FF1F4E78"/>
      <name val="Segoe UI"/>
    </font>
    <font>
      <b/>
      <sz val="10"/>
      <color rgb="FFFFFFFF"/>
      <name val="Segoe UI"/>
    </font>
    <font>
      <b/>
      <sz val="8"/>
      <color rgb="FF333333"/>
      <name val="Segoe UI"/>
    </font>
    <font>
      <sz val="7"/>
      <color rgb="FF666666"/>
      <name val="Segoe UI"/>
    </font>
    <font>
      <sz val="8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Segoe U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FFFFFF"/>
      <name val="Segoe UI"/>
      <family val="2"/>
    </font>
    <font>
      <sz val="10"/>
      <color rgb="FF263238"/>
      <name val="Calibri"/>
      <family val="2"/>
      <scheme val="minor"/>
    </font>
    <font>
      <b/>
      <sz val="20"/>
      <color rgb="FF1F4E78"/>
      <name val="Calibri"/>
      <family val="2"/>
      <scheme val="minor"/>
    </font>
    <font>
      <b/>
      <sz val="11"/>
      <color rgb="FF404040"/>
      <name val="Calibri"/>
      <family val="2"/>
      <scheme val="minor"/>
    </font>
    <font>
      <b/>
      <sz val="9"/>
      <color rgb="FF737373"/>
      <name val="Calibri"/>
      <family val="2"/>
      <scheme val="minor"/>
    </font>
    <font>
      <sz val="9"/>
      <color rgb="FF737373"/>
      <name val="Calibri"/>
      <family val="2"/>
      <scheme val="minor"/>
    </font>
    <font>
      <b/>
      <sz val="12"/>
      <color rgb="FF1F4E78"/>
      <name val="Calibri"/>
      <family val="2"/>
      <scheme val="minor"/>
    </font>
    <font>
      <b/>
      <sz val="10"/>
      <color rgb="FF595959"/>
      <name val="Calibri"/>
      <family val="2"/>
      <scheme val="minor"/>
    </font>
    <font>
      <b/>
      <sz val="22"/>
      <color rgb="FF263238"/>
      <name val="Calibri"/>
      <family val="2"/>
      <scheme val="minor"/>
    </font>
    <font>
      <sz val="8"/>
      <color rgb="FF737373"/>
      <name val="Calibri"/>
      <family val="2"/>
      <scheme val="minor"/>
    </font>
    <font>
      <b/>
      <sz val="9"/>
      <color rgb="FF59595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5"/>
      <color rgb="FFFFFFFF"/>
      <name val="Calibri"/>
      <family val="2"/>
      <scheme val="minor"/>
    </font>
    <font>
      <sz val="9"/>
      <color rgb="FFFFFFFF"/>
      <name val="Calibri"/>
      <family val="2"/>
      <scheme val="minor"/>
    </font>
    <font>
      <i/>
      <sz val="8"/>
      <color rgb="FF607D8B"/>
      <name val="Calibri"/>
      <family val="2"/>
      <scheme val="minor"/>
    </font>
    <font>
      <sz val="8"/>
      <color rgb="FF455A64"/>
      <name val="Calibri"/>
      <family val="2"/>
      <scheme val="minor"/>
    </font>
    <font>
      <sz val="9"/>
      <color rgb="FF455A64"/>
      <name val="Calibri"/>
      <family val="2"/>
      <scheme val="minor"/>
    </font>
    <font>
      <b/>
      <sz val="22"/>
      <color rgb="FF2E7D32"/>
      <name val="Calibri"/>
      <family val="2"/>
      <scheme val="minor"/>
    </font>
    <font>
      <b/>
      <sz val="22"/>
      <color rgb="FF1565C0"/>
      <name val="Calibri"/>
      <family val="2"/>
      <scheme val="minor"/>
    </font>
    <font>
      <b/>
      <sz val="22"/>
      <color rgb="FF607D8B"/>
      <name val="Calibri"/>
      <family val="2"/>
      <scheme val="minor"/>
    </font>
    <font>
      <b/>
      <sz val="22"/>
      <color rgb="FFC62828"/>
      <name val="Calibri"/>
      <family val="2"/>
      <scheme val="minor"/>
    </font>
    <font>
      <b/>
      <sz val="11"/>
      <color rgb="FF263238"/>
      <name val="Calibri"/>
      <family val="2"/>
      <scheme val="minor"/>
    </font>
    <font>
      <b/>
      <sz val="10"/>
      <color rgb="FFFFFFFF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EAEEF3"/>
        <bgColor rgb="FFEAEEF3"/>
      </patternFill>
    </fill>
    <fill>
      <patternFill patternType="solid">
        <fgColor rgb="FFFFFFFF"/>
        <bgColor rgb="FFFFFFFF"/>
      </patternFill>
    </fill>
    <fill>
      <patternFill patternType="solid">
        <fgColor rgb="FFD9E1E8"/>
        <bgColor rgb="FFD9E1E8"/>
      </patternFill>
    </fill>
    <fill>
      <patternFill patternType="solid">
        <fgColor rgb="FFE9EDF4"/>
        <bgColor rgb="FFE9EDF4"/>
      </patternFill>
    </fill>
    <fill>
      <patternFill patternType="solid">
        <fgColor rgb="FF1F4E78"/>
        <bgColor indexed="64"/>
      </patternFill>
    </fill>
    <fill>
      <patternFill patternType="solid">
        <fgColor rgb="FFE4E4E4"/>
        <bgColor rgb="FFFFFFFF"/>
      </patternFill>
    </fill>
    <fill>
      <patternFill patternType="solid">
        <fgColor rgb="FF546E7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4F6"/>
        <bgColor indexed="64"/>
      </patternFill>
    </fill>
    <fill>
      <patternFill patternType="solid">
        <fgColor rgb="FFF4F6F8"/>
        <bgColor indexed="64"/>
      </patternFill>
    </fill>
    <fill>
      <patternFill patternType="solid">
        <fgColor rgb="FF1F3A5F"/>
        <bgColor indexed="64"/>
      </patternFill>
    </fill>
    <fill>
      <patternFill patternType="solid">
        <fgColor rgb="FF2E7D32"/>
        <bgColor indexed="64"/>
      </patternFill>
    </fill>
  </fills>
  <borders count="19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C8D2"/>
      </left>
      <right style="thin">
        <color rgb="FFBFC8D2"/>
      </right>
      <top style="thin">
        <color rgb="FFBFC8D2"/>
      </top>
      <bottom style="thin">
        <color rgb="FFBFC8D2"/>
      </bottom>
      <diagonal/>
    </border>
    <border>
      <left/>
      <right/>
      <top/>
      <bottom style="thin">
        <color rgb="FFBFC8D2"/>
      </bottom>
      <diagonal/>
    </border>
    <border>
      <left style="thick">
        <color rgb="FFFFFFFF"/>
      </left>
      <right/>
      <top/>
      <bottom/>
      <diagonal/>
    </border>
    <border>
      <left/>
      <right/>
      <top style="thin">
        <color rgb="FFBFC8D2"/>
      </top>
      <bottom style="thin">
        <color rgb="FFA6B1BE"/>
      </bottom>
      <diagonal/>
    </border>
    <border>
      <left style="thin">
        <color rgb="FF90A4AE"/>
      </left>
      <right style="thin">
        <color rgb="FF90A4AE"/>
      </right>
      <top style="thin">
        <color rgb="FF90A4AE"/>
      </top>
      <bottom style="thin">
        <color rgb="FF90A4AE"/>
      </bottom>
      <diagonal/>
    </border>
    <border>
      <left style="thick">
        <color rgb="FF2E7D32"/>
      </left>
      <right/>
      <top style="thin">
        <color rgb="FFCFD8DC"/>
      </top>
      <bottom/>
      <diagonal/>
    </border>
    <border>
      <left/>
      <right/>
      <top style="thin">
        <color rgb="FFCFD8DC"/>
      </top>
      <bottom/>
      <diagonal/>
    </border>
    <border>
      <left style="thick">
        <color rgb="FF2E7D32"/>
      </left>
      <right/>
      <top/>
      <bottom style="thin">
        <color rgb="FFCFD8DC"/>
      </bottom>
      <diagonal/>
    </border>
    <border>
      <left/>
      <right/>
      <top/>
      <bottom style="thin">
        <color rgb="FFCFD8DC"/>
      </bottom>
      <diagonal/>
    </border>
    <border>
      <left/>
      <right style="thin">
        <color rgb="FFCFD8DC"/>
      </right>
      <top style="thin">
        <color rgb="FFCFD8DC"/>
      </top>
      <bottom/>
      <diagonal/>
    </border>
    <border>
      <left/>
      <right style="thin">
        <color rgb="FFCFD8DC"/>
      </right>
      <top/>
      <bottom style="thin">
        <color rgb="FFCFD8DC"/>
      </bottom>
      <diagonal/>
    </border>
    <border>
      <left style="thick">
        <color rgb="FF1565C0"/>
      </left>
      <right/>
      <top style="thin">
        <color rgb="FFCFD8DC"/>
      </top>
      <bottom/>
      <diagonal/>
    </border>
    <border>
      <left style="thick">
        <color rgb="FF1565C0"/>
      </left>
      <right/>
      <top/>
      <bottom style="thin">
        <color rgb="FFCFD8DC"/>
      </bottom>
      <diagonal/>
    </border>
    <border>
      <left style="thick">
        <color rgb="FF607D8B"/>
      </left>
      <right/>
      <top style="thin">
        <color rgb="FFCFD8DC"/>
      </top>
      <bottom/>
      <diagonal/>
    </border>
    <border>
      <left style="thick">
        <color rgb="FF607D8B"/>
      </left>
      <right/>
      <top/>
      <bottom style="thin">
        <color rgb="FFCFD8DC"/>
      </bottom>
      <diagonal/>
    </border>
    <border>
      <left style="thick">
        <color rgb="FFC62828"/>
      </left>
      <right/>
      <top style="thin">
        <color rgb="FFCFD8DC"/>
      </top>
      <bottom/>
      <diagonal/>
    </border>
    <border>
      <left style="thick">
        <color rgb="FFC62828"/>
      </left>
      <right/>
      <top/>
      <bottom style="thin">
        <color rgb="FFCFD8D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4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0" fillId="4" borderId="1" xfId="0" applyFill="1" applyBorder="1"/>
    <xf numFmtId="0" fontId="8" fillId="7" borderId="0" xfId="0" applyFont="1" applyFill="1" applyAlignment="1">
      <alignment horizontal="center" vertical="center"/>
    </xf>
    <xf numFmtId="0" fontId="0" fillId="8" borderId="1" xfId="0" applyFill="1" applyBorder="1"/>
    <xf numFmtId="167" fontId="11" fillId="2" borderId="0" xfId="0" applyNumberFormat="1" applyFont="1" applyFill="1" applyAlignment="1">
      <alignment vertical="top" wrapText="1"/>
    </xf>
    <xf numFmtId="0" fontId="10" fillId="0" borderId="0" xfId="0" applyFont="1"/>
    <xf numFmtId="0" fontId="13" fillId="0" borderId="0" xfId="0" applyFont="1"/>
    <xf numFmtId="0" fontId="8" fillId="7" borderId="0" xfId="0" applyFont="1" applyFill="1" applyAlignment="1">
      <alignment horizontal="center"/>
    </xf>
    <xf numFmtId="14" fontId="0" fillId="0" borderId="0" xfId="0" applyNumberFormat="1"/>
    <xf numFmtId="20" fontId="0" fillId="0" borderId="0" xfId="0" applyNumberFormat="1"/>
    <xf numFmtId="49" fontId="0" fillId="0" borderId="0" xfId="0" applyNumberFormat="1"/>
    <xf numFmtId="0" fontId="8" fillId="9" borderId="0" xfId="0" applyFont="1" applyFill="1" applyAlignment="1">
      <alignment horizontal="center"/>
    </xf>
    <xf numFmtId="0" fontId="14" fillId="0" borderId="0" xfId="0" applyFont="1" applyAlignment="1">
      <alignment vertical="center"/>
    </xf>
    <xf numFmtId="49" fontId="14" fillId="0" borderId="0" xfId="0" applyNumberFormat="1" applyFont="1" applyAlignment="1">
      <alignment vertical="center"/>
    </xf>
    <xf numFmtId="165" fontId="14" fillId="0" borderId="0" xfId="0" applyNumberFormat="1" applyFont="1" applyAlignment="1">
      <alignment vertical="center"/>
    </xf>
    <xf numFmtId="22" fontId="14" fillId="0" borderId="0" xfId="0" applyNumberFormat="1" applyFont="1" applyAlignment="1">
      <alignment vertical="center"/>
    </xf>
    <xf numFmtId="165" fontId="14" fillId="0" borderId="0" xfId="0" applyNumberFormat="1" applyFont="1" applyAlignment="1">
      <alignment horizontal="center" vertical="center"/>
    </xf>
    <xf numFmtId="1" fontId="0" fillId="0" borderId="0" xfId="0" applyNumberFormat="1"/>
    <xf numFmtId="164" fontId="0" fillId="0" borderId="0" xfId="0" applyNumberFormat="1"/>
    <xf numFmtId="0" fontId="16" fillId="10" borderId="0" xfId="0" applyFont="1" applyFill="1" applyAlignment="1">
      <alignment vertical="center"/>
    </xf>
    <xf numFmtId="49" fontId="16" fillId="10" borderId="0" xfId="0" applyNumberFormat="1" applyFont="1" applyFill="1" applyAlignment="1">
      <alignment vertical="center"/>
    </xf>
    <xf numFmtId="0" fontId="17" fillId="10" borderId="0" xfId="0" applyFont="1" applyFill="1" applyAlignment="1">
      <alignment vertical="center"/>
    </xf>
    <xf numFmtId="49" fontId="18" fillId="10" borderId="0" xfId="0" applyNumberFormat="1" applyFont="1" applyFill="1" applyAlignment="1">
      <alignment vertical="center"/>
    </xf>
    <xf numFmtId="0" fontId="19" fillId="10" borderId="0" xfId="0" applyFont="1" applyFill="1" applyAlignment="1">
      <alignment vertical="center"/>
    </xf>
    <xf numFmtId="0" fontId="20" fillId="10" borderId="0" xfId="0" applyFont="1" applyFill="1" applyAlignment="1">
      <alignment vertical="center"/>
    </xf>
    <xf numFmtId="0" fontId="16" fillId="11" borderId="2" xfId="0" applyFont="1" applyFill="1" applyBorder="1" applyAlignment="1">
      <alignment horizontal="center" vertical="center"/>
    </xf>
    <xf numFmtId="49" fontId="20" fillId="10" borderId="0" xfId="0" applyNumberFormat="1" applyFont="1" applyFill="1" applyAlignment="1">
      <alignment vertical="center"/>
    </xf>
    <xf numFmtId="0" fontId="21" fillId="10" borderId="3" xfId="0" applyFont="1" applyFill="1" applyBorder="1" applyAlignment="1">
      <alignment vertical="center"/>
    </xf>
    <xf numFmtId="49" fontId="22" fillId="11" borderId="0" xfId="0" applyNumberFormat="1" applyFont="1" applyFill="1" applyAlignment="1">
      <alignment horizontal="left" vertical="center" indent="1"/>
    </xf>
    <xf numFmtId="49" fontId="23" fillId="11" borderId="0" xfId="0" applyNumberFormat="1" applyFont="1" applyFill="1" applyAlignment="1">
      <alignment horizontal="left" vertical="center" indent="1"/>
    </xf>
    <xf numFmtId="49" fontId="24" fillId="11" borderId="0" xfId="0" applyNumberFormat="1" applyFont="1" applyFill="1" applyAlignment="1">
      <alignment horizontal="left" vertical="center" indent="1"/>
    </xf>
    <xf numFmtId="49" fontId="22" fillId="11" borderId="4" xfId="0" applyNumberFormat="1" applyFont="1" applyFill="1" applyBorder="1" applyAlignment="1">
      <alignment horizontal="left" vertical="center" indent="1"/>
    </xf>
    <xf numFmtId="49" fontId="23" fillId="11" borderId="4" xfId="0" applyNumberFormat="1" applyFont="1" applyFill="1" applyBorder="1" applyAlignment="1">
      <alignment horizontal="left" vertical="center" indent="1"/>
    </xf>
    <xf numFmtId="49" fontId="24" fillId="11" borderId="4" xfId="0" applyNumberFormat="1" applyFont="1" applyFill="1" applyBorder="1" applyAlignment="1">
      <alignment horizontal="left" vertical="center" indent="1"/>
    </xf>
    <xf numFmtId="0" fontId="25" fillId="10" borderId="5" xfId="0" applyFont="1" applyFill="1" applyBorder="1" applyAlignment="1">
      <alignment horizontal="left" vertical="center" wrapText="1"/>
    </xf>
    <xf numFmtId="0" fontId="16" fillId="1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9" fontId="3" fillId="4" borderId="0" xfId="0" applyNumberFormat="1" applyFont="1" applyFill="1" applyAlignment="1">
      <alignment horizontal="center" vertical="center"/>
    </xf>
    <xf numFmtId="166" fontId="15" fillId="2" borderId="0" xfId="0" applyNumberFormat="1" applyFont="1" applyFill="1" applyAlignment="1">
      <alignment horizontal="center" vertical="center"/>
    </xf>
    <xf numFmtId="0" fontId="9" fillId="7" borderId="0" xfId="0" applyFont="1" applyFill="1"/>
    <xf numFmtId="0" fontId="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0" xfId="0" applyFont="1" applyAlignment="1">
      <alignment horizontal="left"/>
    </xf>
    <xf numFmtId="0" fontId="26" fillId="12" borderId="0" xfId="0" applyFont="1" applyFill="1"/>
    <xf numFmtId="0" fontId="27" fillId="13" borderId="0" xfId="0" applyFont="1" applyFill="1"/>
    <xf numFmtId="0" fontId="28" fillId="13" borderId="0" xfId="0" applyFont="1" applyFill="1" applyAlignment="1">
      <alignment vertical="center"/>
    </xf>
    <xf numFmtId="0" fontId="29" fillId="13" borderId="0" xfId="0" applyFont="1" applyFill="1" applyAlignment="1">
      <alignment horizontal="right" vertical="center"/>
    </xf>
    <xf numFmtId="0" fontId="30" fillId="12" borderId="0" xfId="0" applyFont="1" applyFill="1"/>
    <xf numFmtId="0" fontId="31" fillId="12" borderId="0" xfId="0" applyFont="1" applyFill="1" applyAlignment="1"/>
    <xf numFmtId="0" fontId="10" fillId="10" borderId="6" xfId="0" applyFont="1" applyFill="1" applyBorder="1" applyAlignment="1" applyProtection="1">
      <alignment horizontal="center" vertical="center"/>
      <protection locked="0"/>
    </xf>
    <xf numFmtId="0" fontId="32" fillId="10" borderId="7" xfId="0" applyFont="1" applyFill="1" applyBorder="1" applyAlignment="1">
      <alignment horizontal="left" vertical="center" indent="1"/>
    </xf>
    <xf numFmtId="0" fontId="26" fillId="10" borderId="11" xfId="0" applyFont="1" applyFill="1" applyBorder="1" applyAlignment="1">
      <alignment horizontal="left" vertical="center" indent="1"/>
    </xf>
    <xf numFmtId="1" fontId="33" fillId="10" borderId="9" xfId="0" applyNumberFormat="1" applyFont="1" applyFill="1" applyBorder="1" applyAlignment="1">
      <alignment horizontal="left" vertical="center" indent="1"/>
    </xf>
    <xf numFmtId="0" fontId="26" fillId="10" borderId="12" xfId="0" applyFont="1" applyFill="1" applyBorder="1" applyAlignment="1">
      <alignment horizontal="left" vertical="center" indent="1"/>
    </xf>
    <xf numFmtId="0" fontId="26" fillId="10" borderId="8" xfId="0" applyFont="1" applyFill="1" applyBorder="1" applyAlignment="1">
      <alignment horizontal="left" vertical="center" indent="1"/>
    </xf>
    <xf numFmtId="0" fontId="26" fillId="10" borderId="10" xfId="0" applyFont="1" applyFill="1" applyBorder="1" applyAlignment="1">
      <alignment horizontal="left" vertical="center" indent="1"/>
    </xf>
    <xf numFmtId="0" fontId="32" fillId="10" borderId="13" xfId="0" applyFont="1" applyFill="1" applyBorder="1" applyAlignment="1">
      <alignment horizontal="left" vertical="center" indent="1"/>
    </xf>
    <xf numFmtId="1" fontId="34" fillId="10" borderId="14" xfId="0" applyNumberFormat="1" applyFont="1" applyFill="1" applyBorder="1" applyAlignment="1">
      <alignment horizontal="left" vertical="center" indent="1"/>
    </xf>
    <xf numFmtId="0" fontId="32" fillId="10" borderId="15" xfId="0" applyFont="1" applyFill="1" applyBorder="1" applyAlignment="1">
      <alignment horizontal="left" vertical="center" indent="1"/>
    </xf>
    <xf numFmtId="1" fontId="35" fillId="10" borderId="16" xfId="0" applyNumberFormat="1" applyFont="1" applyFill="1" applyBorder="1" applyAlignment="1">
      <alignment horizontal="left" vertical="center" indent="1"/>
    </xf>
    <xf numFmtId="0" fontId="32" fillId="10" borderId="17" xfId="0" applyFont="1" applyFill="1" applyBorder="1" applyAlignment="1">
      <alignment horizontal="left" vertical="center" indent="1"/>
    </xf>
    <xf numFmtId="1" fontId="36" fillId="10" borderId="18" xfId="0" applyNumberFormat="1" applyFont="1" applyFill="1" applyBorder="1" applyAlignment="1">
      <alignment horizontal="left" vertical="center" indent="1"/>
    </xf>
    <xf numFmtId="0" fontId="32" fillId="12" borderId="0" xfId="0" applyFont="1" applyFill="1"/>
    <xf numFmtId="0" fontId="37" fillId="12" borderId="0" xfId="0" applyFont="1" applyFill="1"/>
    <xf numFmtId="0" fontId="38" fillId="13" borderId="0" xfId="0" applyFont="1" applyFill="1" applyAlignment="1">
      <alignment vertical="center" wrapText="1"/>
    </xf>
    <xf numFmtId="0" fontId="38" fillId="13" borderId="0" xfId="0" applyFont="1" applyFill="1" applyAlignment="1">
      <alignment horizontal="center" vertical="center" wrapText="1"/>
    </xf>
    <xf numFmtId="49" fontId="26" fillId="10" borderId="10" xfId="0" applyNumberFormat="1" applyFont="1" applyFill="1" applyBorder="1" applyAlignment="1">
      <alignment vertical="center"/>
    </xf>
    <xf numFmtId="169" fontId="26" fillId="10" borderId="10" xfId="0" applyNumberFormat="1" applyFont="1" applyFill="1" applyBorder="1" applyAlignment="1">
      <alignment horizontal="center" vertical="center"/>
    </xf>
    <xf numFmtId="3" fontId="26" fillId="10" borderId="10" xfId="0" applyNumberFormat="1" applyFont="1" applyFill="1" applyBorder="1" applyAlignment="1">
      <alignment horizontal="right" vertical="center"/>
    </xf>
    <xf numFmtId="49" fontId="26" fillId="10" borderId="10" xfId="0" applyNumberFormat="1" applyFont="1" applyFill="1" applyBorder="1" applyAlignment="1">
      <alignment horizontal="center" vertical="center"/>
    </xf>
    <xf numFmtId="49" fontId="38" fillId="14" borderId="10" xfId="0" applyNumberFormat="1" applyFont="1" applyFill="1" applyBorder="1" applyAlignment="1">
      <alignment horizontal="center" vertical="center"/>
    </xf>
    <xf numFmtId="170" fontId="16" fillId="11" borderId="2" xfId="0" applyNumberFormat="1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horizontal="left" vertical="center" indent="1"/>
    </xf>
    <xf numFmtId="0" fontId="16" fillId="11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406400</xdr:rowOff>
    </xdr:from>
    <xdr:to>
      <xdr:col>0</xdr:col>
      <xdr:colOff>1730375</xdr:colOff>
      <xdr:row>0</xdr:row>
      <xdr:rowOff>660400</xdr:rowOff>
    </xdr:to>
    <xdr:sp macro="APS_NovaOperacao" textlink="">
      <xdr:nvSpPr>
        <xdr:cNvPr id="2" name="APS_BTN_NOVA">
          <a:extLst>
            <a:ext uri="{FF2B5EF4-FFF2-40B4-BE49-F238E27FC236}">
              <a16:creationId xmlns:a16="http://schemas.microsoft.com/office/drawing/2014/main" id="{C6F7C233-3B1D-4906-86E6-9FA92F40391C}"/>
            </a:ext>
          </a:extLst>
        </xdr:cNvPr>
        <xdr:cNvSpPr/>
      </xdr:nvSpPr>
      <xdr:spPr>
        <a:xfrm>
          <a:off x="50800" y="406400"/>
          <a:ext cx="1679575" cy="254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+ NOVA OPERAÇÃO</a:t>
          </a:r>
        </a:p>
      </xdr:txBody>
    </xdr:sp>
    <xdr:clientData/>
  </xdr:twoCellAnchor>
  <xdr:twoCellAnchor editAs="oneCell">
    <xdr:from>
      <xdr:col>0</xdr:col>
      <xdr:colOff>50800</xdr:colOff>
      <xdr:row>0</xdr:row>
      <xdr:rowOff>698500</xdr:rowOff>
    </xdr:from>
    <xdr:to>
      <xdr:col>0</xdr:col>
      <xdr:colOff>865188</xdr:colOff>
      <xdr:row>0</xdr:row>
      <xdr:rowOff>927100</xdr:rowOff>
    </xdr:to>
    <xdr:sp macro="APS_IrParaHojeBtn" textlink="">
      <xdr:nvSpPr>
        <xdr:cNvPr id="3" name="APS_BTN_HOJE">
          <a:extLst>
            <a:ext uri="{FF2B5EF4-FFF2-40B4-BE49-F238E27FC236}">
              <a16:creationId xmlns:a16="http://schemas.microsoft.com/office/drawing/2014/main" id="{3CA55980-295D-4659-9765-A911B83344F8}"/>
            </a:ext>
          </a:extLst>
        </xdr:cNvPr>
        <xdr:cNvSpPr/>
      </xdr:nvSpPr>
      <xdr:spPr>
        <a:xfrm>
          <a:off x="50800" y="698500"/>
          <a:ext cx="814388" cy="228600"/>
        </a:xfrm>
        <a:prstGeom prst="roundRect">
          <a:avLst/>
        </a:prstGeom>
        <a:solidFill>
          <a:srgbClr val="E691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HOJE</a:t>
          </a:r>
        </a:p>
      </xdr:txBody>
    </xdr:sp>
    <xdr:clientData/>
  </xdr:twoCellAnchor>
  <xdr:twoCellAnchor editAs="oneCell">
    <xdr:from>
      <xdr:col>0</xdr:col>
      <xdr:colOff>915988</xdr:colOff>
      <xdr:row>0</xdr:row>
      <xdr:rowOff>698500</xdr:rowOff>
    </xdr:from>
    <xdr:to>
      <xdr:col>0</xdr:col>
      <xdr:colOff>1730375</xdr:colOff>
      <xdr:row>0</xdr:row>
      <xdr:rowOff>927100</xdr:rowOff>
    </xdr:to>
    <xdr:sp macro="APS_AbrirCalendario" textlink="">
      <xdr:nvSpPr>
        <xdr:cNvPr id="4" name="APS_BTN_CAL">
          <a:extLst>
            <a:ext uri="{FF2B5EF4-FFF2-40B4-BE49-F238E27FC236}">
              <a16:creationId xmlns:a16="http://schemas.microsoft.com/office/drawing/2014/main" id="{DC55453F-2140-4CA0-9039-515FF00E1BDB}"/>
            </a:ext>
          </a:extLst>
        </xdr:cNvPr>
        <xdr:cNvSpPr/>
      </xdr:nvSpPr>
      <xdr:spPr>
        <a:xfrm>
          <a:off x="915988" y="698500"/>
          <a:ext cx="814387" cy="228600"/>
        </a:xfrm>
        <a:prstGeom prst="roundRect">
          <a:avLst/>
        </a:prstGeom>
        <a:solidFill>
          <a:srgbClr val="546E7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CALENDÁRIO</a:t>
          </a:r>
        </a:p>
      </xdr:txBody>
    </xdr:sp>
    <xdr:clientData/>
  </xdr:twoCellAnchor>
  <xdr:twoCellAnchor editAs="oneCell">
    <xdr:from>
      <xdr:col>0</xdr:col>
      <xdr:colOff>50800</xdr:colOff>
      <xdr:row>28</xdr:row>
      <xdr:rowOff>0</xdr:rowOff>
    </xdr:from>
    <xdr:to>
      <xdr:col>0</xdr:col>
      <xdr:colOff>1730375</xdr:colOff>
      <xdr:row>29</xdr:row>
      <xdr:rowOff>114300</xdr:rowOff>
    </xdr:to>
    <xdr:sp macro="APS_AdicionarDias" textlink="">
      <xdr:nvSpPr>
        <xdr:cNvPr id="5" name="APS_BTN_DIAS">
          <a:extLst>
            <a:ext uri="{FF2B5EF4-FFF2-40B4-BE49-F238E27FC236}">
              <a16:creationId xmlns:a16="http://schemas.microsoft.com/office/drawing/2014/main" id="{37466701-716D-4097-B253-7ACE818779BD}"/>
            </a:ext>
          </a:extLst>
        </xdr:cNvPr>
        <xdr:cNvSpPr/>
      </xdr:nvSpPr>
      <xdr:spPr>
        <a:xfrm>
          <a:off x="50800" y="6134100"/>
          <a:ext cx="1679575" cy="304800"/>
        </a:xfrm>
        <a:prstGeom prst="roundRect">
          <a:avLst/>
        </a:prstGeom>
        <a:solidFill>
          <a:srgbClr val="2E7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+ ADICIONAR DIAS</a:t>
          </a:r>
        </a:p>
      </xdr:txBody>
    </xdr:sp>
    <xdr:clientData/>
  </xdr:twoCellAnchor>
  <xdr:twoCellAnchor>
    <xdr:from>
      <xdr:col>587</xdr:col>
      <xdr:colOff>0</xdr:colOff>
      <xdr:row>15</xdr:row>
      <xdr:rowOff>25400</xdr:rowOff>
    </xdr:from>
    <xdr:to>
      <xdr:col>602</xdr:col>
      <xdr:colOff>98425</xdr:colOff>
      <xdr:row>18</xdr:row>
      <xdr:rowOff>139700</xdr:rowOff>
    </xdr:to>
    <xdr:sp macro="APS_CardClick" textlink="">
      <xdr:nvSpPr>
        <xdr:cNvPr id="6" name="OPCARD_20" descr="OP 0468 | Puran T4 62,5 mcg | Lote 558855 | Mediseal | 11/10 10:00 - 12/10 01:20 | Concluída">
          <a:extLst>
            <a:ext uri="{FF2B5EF4-FFF2-40B4-BE49-F238E27FC236}">
              <a16:creationId xmlns:a16="http://schemas.microsoft.com/office/drawing/2014/main" id="{918CFCC2-FA16-AE37-D770-238B426DE63A}"/>
            </a:ext>
          </a:extLst>
        </xdr:cNvPr>
        <xdr:cNvSpPr/>
      </xdr:nvSpPr>
      <xdr:spPr>
        <a:xfrm>
          <a:off x="174812325" y="3683000"/>
          <a:ext cx="4527550" cy="685800"/>
        </a:xfrm>
        <a:prstGeom prst="roundRect">
          <a:avLst>
            <a:gd name="adj" fmla="val 15000"/>
          </a:avLst>
        </a:prstGeom>
        <a:solidFill>
          <a:srgbClr val="168C7D">
            <a:alpha val="55000"/>
          </a:srgbClr>
        </a:solidFill>
        <a:ln w="12700">
          <a:solidFill>
            <a:srgbClr val="78787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12700" rIns="25400" bIns="12700" rtlCol="0" anchor="ctr">
          <a:noAutofit/>
        </a:bodyPr>
        <a:lstStyle/>
        <a:p>
          <a:pPr algn="l"/>
          <a:r>
            <a:rPr lang="pt-BR" sz="900" b="1">
              <a:solidFill>
                <a:srgbClr val="1E1E1E"/>
              </a:solidFill>
              <a:latin typeface="Calibri" panose="020F0502020204030204" pitchFamily="34" charset="0"/>
            </a:rPr>
            <a:t>OP 0468  Puran T4 62,5 mcg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Lote 558855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10:00-01:20 (+1)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Concluída</a:t>
          </a:r>
        </a:p>
      </xdr:txBody>
    </xdr:sp>
    <xdr:clientData/>
  </xdr:twoCellAnchor>
  <xdr:twoCellAnchor>
    <xdr:from>
      <xdr:col>585</xdr:col>
      <xdr:colOff>0</xdr:colOff>
      <xdr:row>15</xdr:row>
      <xdr:rowOff>25400</xdr:rowOff>
    </xdr:from>
    <xdr:to>
      <xdr:col>587</xdr:col>
      <xdr:colOff>0</xdr:colOff>
      <xdr:row>18</xdr:row>
      <xdr:rowOff>139700</xdr:rowOff>
    </xdr:to>
    <xdr:sp macro="APS_CardClick" textlink="">
      <xdr:nvSpPr>
        <xdr:cNvPr id="7" name="OPCARD_S20" descr="Puran T4 62,5 mcg | Lote 558855 | Mediseal | 11/10 08:00 - 11/10 10:00">
          <a:extLst>
            <a:ext uri="{FF2B5EF4-FFF2-40B4-BE49-F238E27FC236}">
              <a16:creationId xmlns:a16="http://schemas.microsoft.com/office/drawing/2014/main" id="{8ADD50FA-7312-FBD0-4B06-C79D9FAC9688}"/>
            </a:ext>
          </a:extLst>
        </xdr:cNvPr>
        <xdr:cNvSpPr/>
      </xdr:nvSpPr>
      <xdr:spPr>
        <a:xfrm>
          <a:off x="174221775" y="3683000"/>
          <a:ext cx="590550" cy="685800"/>
        </a:xfrm>
        <a:prstGeom prst="roundRect">
          <a:avLst>
            <a:gd name="adj" fmla="val 15000"/>
          </a:avLst>
        </a:prstGeom>
        <a:solidFill>
          <a:srgbClr val="FFB300">
            <a:alpha val="55000"/>
          </a:srgbClr>
        </a:solidFill>
        <a:ln w="12700">
          <a:solidFill>
            <a:srgbClr val="78787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12700" rIns="25400" bIns="12700" rtlCol="0" anchor="ctr">
          <a:noAutofit/>
        </a:bodyPr>
        <a:lstStyle/>
        <a:p>
          <a:pPr algn="l"/>
          <a:r>
            <a:rPr lang="pt-BR" sz="900" b="1">
              <a:solidFill>
                <a:srgbClr val="1E1E1E"/>
              </a:solidFill>
              <a:latin typeface="Calibri" panose="020F0502020204030204" pitchFamily="34" charset="0"/>
            </a:rPr>
            <a:t>Setup D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Lote 55…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08:00-1…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906666 …</a:t>
          </a:r>
        </a:p>
      </xdr:txBody>
    </xdr:sp>
    <xdr:clientData/>
  </xdr:twoCellAnchor>
  <xdr:twoCellAnchor>
    <xdr:from>
      <xdr:col>678</xdr:col>
      <xdr:colOff>0</xdr:colOff>
      <xdr:row>23</xdr:row>
      <xdr:rowOff>25400</xdr:rowOff>
    </xdr:from>
    <xdr:to>
      <xdr:col>686</xdr:col>
      <xdr:colOff>0</xdr:colOff>
      <xdr:row>26</xdr:row>
      <xdr:rowOff>139700</xdr:rowOff>
    </xdr:to>
    <xdr:sp macro="APS_CardClick" textlink="">
      <xdr:nvSpPr>
        <xdr:cNvPr id="8" name="OPCARD_21" descr="OP RPU0G1252 | Mistura para Puran | Lote GPU01454 | Granulação | 15/10 05:00 - 15/10 13:00 | Concluída">
          <a:extLst>
            <a:ext uri="{FF2B5EF4-FFF2-40B4-BE49-F238E27FC236}">
              <a16:creationId xmlns:a16="http://schemas.microsoft.com/office/drawing/2014/main" id="{17707697-AD7D-9E52-5016-20470274513A}"/>
            </a:ext>
          </a:extLst>
        </xdr:cNvPr>
        <xdr:cNvSpPr/>
      </xdr:nvSpPr>
      <xdr:spPr>
        <a:xfrm>
          <a:off x="201682350" y="5207000"/>
          <a:ext cx="2362200" cy="685800"/>
        </a:xfrm>
        <a:prstGeom prst="roundRect">
          <a:avLst>
            <a:gd name="adj" fmla="val 15000"/>
          </a:avLst>
        </a:prstGeom>
        <a:solidFill>
          <a:srgbClr val="3F51B5">
            <a:alpha val="55000"/>
          </a:srgbClr>
        </a:solidFill>
        <a:ln w="12700">
          <a:solidFill>
            <a:srgbClr val="78787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12700" rIns="25400" bIns="12700" rtlCol="0" anchor="ctr">
          <a:noAutofit/>
        </a:bodyPr>
        <a:lstStyle/>
        <a:p>
          <a:pPr algn="l"/>
          <a:r>
            <a:rPr lang="pt-BR" sz="900" b="1">
              <a:solidFill>
                <a:srgbClr val="1E1E1E"/>
              </a:solidFill>
              <a:latin typeface="Calibri" panose="020F0502020204030204" pitchFamily="34" charset="0"/>
            </a:rPr>
            <a:t>OP RPU0G1252  Mistura para Puran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Lote GPU01454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05:00-13:00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Concluída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101600</xdr:colOff>
      <xdr:row>0</xdr:row>
      <xdr:rowOff>50800</xdr:rowOff>
    </xdr:from>
    <xdr:to>
      <xdr:col>19</xdr:col>
      <xdr:colOff>177800</xdr:colOff>
      <xdr:row>0</xdr:row>
      <xdr:rowOff>330200</xdr:rowOff>
    </xdr:to>
    <xdr:sp macro="APS_NovaOperacao" textlink="">
      <xdr:nvSpPr>
        <xdr:cNvPr id="2" name="APS_BTN_NOVA_OPS">
          <a:extLst>
            <a:ext uri="{FF2B5EF4-FFF2-40B4-BE49-F238E27FC236}">
              <a16:creationId xmlns:a16="http://schemas.microsoft.com/office/drawing/2014/main" id="{2FDDC71F-98FC-40DF-9100-9F2EEB243AA2}"/>
            </a:ext>
          </a:extLst>
        </xdr:cNvPr>
        <xdr:cNvSpPr/>
      </xdr:nvSpPr>
      <xdr:spPr>
        <a:xfrm>
          <a:off x="11931650" y="50800"/>
          <a:ext cx="1905000" cy="2794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+ NOVA OPERAÇÃO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1193800</xdr:colOff>
      <xdr:row>2</xdr:row>
      <xdr:rowOff>25400</xdr:rowOff>
    </xdr:from>
    <xdr:to>
      <xdr:col>1</xdr:col>
      <xdr:colOff>2413000</xdr:colOff>
      <xdr:row>2</xdr:row>
      <xdr:rowOff>330200</xdr:rowOff>
    </xdr:to>
    <xdr:sp macro="APS_PainelNavGeral" textlink="">
      <xdr:nvSpPr>
        <xdr:cNvPr id="2" name="pnl_btnGeral" descr="Resumo do planejamento">
          <a:extLst>
            <a:ext uri="{FF2B5EF4-FFF2-40B4-BE49-F238E27FC236}">
              <a16:creationId xmlns:a16="http://schemas.microsoft.com/office/drawing/2014/main" id="{BDCB4069-B437-4672-E266-7A1CDC1C4D1C}"/>
            </a:ext>
          </a:extLst>
        </xdr:cNvPr>
        <xdr:cNvSpPr/>
      </xdr:nvSpPr>
      <xdr:spPr>
        <a:xfrm>
          <a:off x="1374775" y="673100"/>
          <a:ext cx="1219200" cy="3048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Visão geral</a:t>
          </a:r>
        </a:p>
      </xdr:txBody>
    </xdr:sp>
    <xdr:clientData/>
  </xdr:twoCellAnchor>
  <xdr:twoCellAnchor editAs="oneCell">
    <xdr:from>
      <xdr:col>1</xdr:col>
      <xdr:colOff>2489200</xdr:colOff>
      <xdr:row>2</xdr:row>
      <xdr:rowOff>25400</xdr:rowOff>
    </xdr:from>
    <xdr:to>
      <xdr:col>2</xdr:col>
      <xdr:colOff>860425</xdr:colOff>
      <xdr:row>2</xdr:row>
      <xdr:rowOff>330200</xdr:rowOff>
    </xdr:to>
    <xdr:sp macro="APS_PainelNavMaquinas" textlink="">
      <xdr:nvSpPr>
        <xdr:cNvPr id="3" name="pnl_btnMaquinas" descr="Comparação entre as máquinas">
          <a:extLst>
            <a:ext uri="{FF2B5EF4-FFF2-40B4-BE49-F238E27FC236}">
              <a16:creationId xmlns:a16="http://schemas.microsoft.com/office/drawing/2014/main" id="{A4F48F6A-FD0D-C8C3-AFCF-FA7D200F203C}"/>
            </a:ext>
          </a:extLst>
        </xdr:cNvPr>
        <xdr:cNvSpPr/>
      </xdr:nvSpPr>
      <xdr:spPr>
        <a:xfrm>
          <a:off x="2670175" y="673100"/>
          <a:ext cx="1219200" cy="304800"/>
        </a:xfrm>
        <a:prstGeom prst="roundRect">
          <a:avLst/>
        </a:prstGeom>
        <a:solidFill>
          <a:srgbClr val="E2E7ED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1F4E78"/>
              </a:solidFill>
            </a:rPr>
            <a:t>Máquinas</a:t>
          </a:r>
        </a:p>
      </xdr:txBody>
    </xdr:sp>
    <xdr:clientData/>
  </xdr:twoCellAnchor>
  <xdr:twoCellAnchor editAs="oneCell">
    <xdr:from>
      <xdr:col>8</xdr:col>
      <xdr:colOff>0</xdr:colOff>
      <xdr:row>4</xdr:row>
      <xdr:rowOff>12700</xdr:rowOff>
    </xdr:from>
    <xdr:to>
      <xdr:col>9</xdr:col>
      <xdr:colOff>161925</xdr:colOff>
      <xdr:row>4</xdr:row>
      <xdr:rowOff>263525</xdr:rowOff>
    </xdr:to>
    <xdr:sp macro="APS_PainelAtualizarBotao" textlink="">
      <xdr:nvSpPr>
        <xdr:cNvPr id="4" name="pnl_btnAtualizar" descr="Recalcula o painel com os filtros escolhidos">
          <a:extLst>
            <a:ext uri="{FF2B5EF4-FFF2-40B4-BE49-F238E27FC236}">
              <a16:creationId xmlns:a16="http://schemas.microsoft.com/office/drawing/2014/main" id="{FD9DDC29-80C1-3981-1DF4-06F94965339A}"/>
            </a:ext>
          </a:extLst>
        </xdr:cNvPr>
        <xdr:cNvSpPr/>
      </xdr:nvSpPr>
      <xdr:spPr>
        <a:xfrm>
          <a:off x="8915400" y="1212850"/>
          <a:ext cx="1143000" cy="250825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Atualizar</a:t>
          </a:r>
        </a:p>
      </xdr:txBody>
    </xdr:sp>
    <xdr:clientData/>
  </xdr:twoCellAnchor>
  <xdr:twoCellAnchor editAs="oneCell">
    <xdr:from>
      <xdr:col>8</xdr:col>
      <xdr:colOff>38100</xdr:colOff>
      <xdr:row>14</xdr:row>
      <xdr:rowOff>38100</xdr:rowOff>
    </xdr:from>
    <xdr:to>
      <xdr:col>10</xdr:col>
      <xdr:colOff>942975</xdr:colOff>
      <xdr:row>14</xdr:row>
      <xdr:rowOff>285750</xdr:rowOff>
    </xdr:to>
    <xdr:sp macro="APS_PainelNavMaquinas" textlink="">
      <xdr:nvSpPr>
        <xdr:cNvPr id="5" name="pnl_btnTodasMaq" descr="Abre a comparação entre máquinas">
          <a:extLst>
            <a:ext uri="{FF2B5EF4-FFF2-40B4-BE49-F238E27FC236}">
              <a16:creationId xmlns:a16="http://schemas.microsoft.com/office/drawing/2014/main" id="{F6548B4B-772B-A7C3-C6E9-DE17C7BD0127}"/>
            </a:ext>
          </a:extLst>
        </xdr:cNvPr>
        <xdr:cNvSpPr/>
      </xdr:nvSpPr>
      <xdr:spPr>
        <a:xfrm>
          <a:off x="8953500" y="3495675"/>
          <a:ext cx="2867025" cy="247650"/>
        </a:xfrm>
        <a:prstGeom prst="roundRect">
          <a:avLst/>
        </a:prstGeom>
        <a:solidFill>
          <a:srgbClr val="E2E7ED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1F4E78"/>
              </a:solidFill>
            </a:rPr>
            <a:t>Ver todas as máquinas</a:t>
          </a:r>
        </a:p>
      </xdr:txBody>
    </xdr:sp>
    <xdr:clientData/>
  </xdr:twoCellAnchor>
  <xdr:twoCellAnchor editAs="oneCell">
    <xdr:from>
      <xdr:col>9</xdr:col>
      <xdr:colOff>38100</xdr:colOff>
      <xdr:row>17</xdr:row>
      <xdr:rowOff>38100</xdr:rowOff>
    </xdr:from>
    <xdr:to>
      <xdr:col>10</xdr:col>
      <xdr:colOff>942975</xdr:colOff>
      <xdr:row>17</xdr:row>
      <xdr:rowOff>285750</xdr:rowOff>
    </xdr:to>
    <xdr:sp macro="APS_PainelNavAtencao" textlink="">
      <xdr:nvSpPr>
        <xdr:cNvPr id="6" name="pnl_btnTodasPri" descr="Abre a lista completa com explicações">
          <a:extLst>
            <a:ext uri="{FF2B5EF4-FFF2-40B4-BE49-F238E27FC236}">
              <a16:creationId xmlns:a16="http://schemas.microsoft.com/office/drawing/2014/main" id="{2156B834-B6CC-05D6-4281-115CC27E3AC2}"/>
            </a:ext>
          </a:extLst>
        </xdr:cNvPr>
        <xdr:cNvSpPr/>
      </xdr:nvSpPr>
      <xdr:spPr>
        <a:xfrm>
          <a:off x="9934575" y="4200525"/>
          <a:ext cx="1885950" cy="247650"/>
        </a:xfrm>
        <a:prstGeom prst="roundRect">
          <a:avLst/>
        </a:prstGeom>
        <a:solidFill>
          <a:srgbClr val="E2E7ED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1F4E78"/>
              </a:solidFill>
            </a:rPr>
            <a:t>Ver todas</a:t>
          </a:r>
        </a:p>
      </xdr:txBody>
    </xdr:sp>
    <xdr:clientData/>
  </xdr:twoCellAnchor>
  <xdr:twoCellAnchor editAs="oneCell">
    <xdr:from>
      <xdr:col>9</xdr:col>
      <xdr:colOff>38100</xdr:colOff>
      <xdr:row>22</xdr:row>
      <xdr:rowOff>38100</xdr:rowOff>
    </xdr:from>
    <xdr:to>
      <xdr:col>10</xdr:col>
      <xdr:colOff>942975</xdr:colOff>
      <xdr:row>22</xdr:row>
      <xdr:rowOff>152400</xdr:rowOff>
    </xdr:to>
    <xdr:sp macro="APS_Diagnostico" textlink="">
      <xdr:nvSpPr>
        <xdr:cNvPr id="7" name="pnl_btnDiag" descr="Abre o diagnóstico de dados (somente leitura)">
          <a:extLst>
            <a:ext uri="{FF2B5EF4-FFF2-40B4-BE49-F238E27FC236}">
              <a16:creationId xmlns:a16="http://schemas.microsoft.com/office/drawing/2014/main" id="{97777432-BF0D-D50C-DCA9-21922E8D1B7E}"/>
            </a:ext>
          </a:extLst>
        </xdr:cNvPr>
        <xdr:cNvSpPr/>
      </xdr:nvSpPr>
      <xdr:spPr>
        <a:xfrm>
          <a:off x="9934575" y="5448300"/>
          <a:ext cx="1885950" cy="114300"/>
        </a:xfrm>
        <a:prstGeom prst="roundRect">
          <a:avLst/>
        </a:prstGeom>
        <a:solidFill>
          <a:srgbClr val="E2E7ED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1F4E78"/>
              </a:solidFill>
            </a:rPr>
            <a:t>Diagnóstico de dados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38100</xdr:rowOff>
    </xdr:from>
    <xdr:to>
      <xdr:col>9</xdr:col>
      <xdr:colOff>377825</xdr:colOff>
      <xdr:row>0</xdr:row>
      <xdr:rowOff>342900</xdr:rowOff>
    </xdr:to>
    <xdr:sp macro="APS_OrganizarAutomaticamente" textlink="">
      <xdr:nvSpPr>
        <xdr:cNvPr id="2" name="APS_BTN_ORGANIZAR">
          <a:extLst>
            <a:ext uri="{FF2B5EF4-FFF2-40B4-BE49-F238E27FC236}">
              <a16:creationId xmlns:a16="http://schemas.microsoft.com/office/drawing/2014/main" id="{36913CCF-6A46-417A-B9A5-971D8570B913}"/>
            </a:ext>
          </a:extLst>
        </xdr:cNvPr>
        <xdr:cNvSpPr/>
      </xdr:nvSpPr>
      <xdr:spPr>
        <a:xfrm>
          <a:off x="6353175" y="38100"/>
          <a:ext cx="2921000" cy="304800"/>
        </a:xfrm>
        <a:prstGeom prst="roundRect">
          <a:avLst/>
        </a:prstGeom>
        <a:solidFill>
          <a:srgbClr val="2E7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ORGANIZAR AUTOMATICAMENTE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7"/>
  </sheetPr>
  <dimension ref="A1:N4"/>
  <sheetViews>
    <sheetView workbookViewId="0">
      <selection activeCell="C14" sqref="C14"/>
    </sheetView>
  </sheetViews>
  <sheetFormatPr defaultRowHeight="15" x14ac:dyDescent="0.25"/>
  <cols>
    <col min="1" max="1" width="34" customWidth="1"/>
    <col min="2" max="2" width="12" customWidth="1"/>
    <col min="3" max="3" width="48" customWidth="1"/>
    <col min="4" max="4" width="12" customWidth="1"/>
    <col min="5" max="5" width="51" customWidth="1"/>
    <col min="6" max="6" width="12" customWidth="1"/>
    <col min="7" max="7" width="48" customWidth="1"/>
    <col min="8" max="8" width="12" customWidth="1"/>
    <col min="9" max="9" width="47" customWidth="1"/>
    <col min="10" max="10" width="12" customWidth="1"/>
    <col min="11" max="11" width="31" customWidth="1"/>
    <col min="12" max="12" width="12" customWidth="1"/>
    <col min="13" max="13" width="35" customWidth="1"/>
    <col min="14" max="14" width="12" customWidth="1"/>
  </cols>
  <sheetData>
    <row r="1" spans="1:14" ht="35.1" customHeight="1" x14ac:dyDescent="0.35">
      <c r="A1" s="41" t="s">
        <v>0</v>
      </c>
      <c r="B1" s="42"/>
      <c r="C1" s="42"/>
      <c r="D1" s="42"/>
      <c r="E1" s="42"/>
      <c r="F1" s="42"/>
      <c r="G1" s="42"/>
      <c r="H1" s="42"/>
    </row>
    <row r="3" spans="1:14" ht="20.100000000000001" customHeight="1" x14ac:dyDescent="0.25">
      <c r="A3" s="39" t="s">
        <v>1</v>
      </c>
      <c r="B3" s="40"/>
      <c r="C3" s="39" t="s">
        <v>2</v>
      </c>
      <c r="D3" s="40"/>
      <c r="E3" s="39" t="s">
        <v>3</v>
      </c>
      <c r="F3" s="40"/>
      <c r="G3" s="39" t="s">
        <v>4</v>
      </c>
      <c r="H3" s="40"/>
      <c r="I3" s="39" t="s">
        <v>5</v>
      </c>
      <c r="J3" s="40"/>
      <c r="K3" s="39" t="s">
        <v>6</v>
      </c>
      <c r="L3" s="40"/>
      <c r="M3" s="39" t="s">
        <v>7</v>
      </c>
      <c r="N3" s="40"/>
    </row>
    <row r="4" spans="1:14" ht="30" customHeight="1" x14ac:dyDescent="0.25">
      <c r="A4" s="44">
        <f>COUNTIFS('02_Operacoes'!$F:$F,"&gt;0",'02_Operacoes'!$I:$I,"&lt;&gt;*[[APS_*",'02_Operacoes'!$A:$A,"&lt;&gt;SETUP",'02_Operacoes'!$A:$A,"&lt;&gt;LIMPEZA")</f>
        <v>2</v>
      </c>
      <c r="B4" s="40"/>
      <c r="C4" s="44">
        <f>COUNTIFS('02_Operacoes'!$F:$F,"&gt;0",'02_Operacoes'!$I:$I,"&lt;&gt;*[[APS_*",'02_Operacoes'!$A:$A,"&lt;&gt;SETUP",'02_Operacoes'!$A:$A,"&lt;&gt;LIMPEZA",'02_Operacoes'!$H:$H,"Planejada")</f>
        <v>0</v>
      </c>
      <c r="D4" s="40"/>
      <c r="E4" s="44">
        <f>COUNTIFS('02_Operacoes'!$F:$F,"&gt;0",'02_Operacoes'!$I:$I,"&lt;&gt;*[[APS_*",'02_Operacoes'!$A:$A,"&lt;&gt;SETUP",'02_Operacoes'!$A:$A,"&lt;&gt;LIMPEZA",'02_Operacoes'!$H:$H,"Em Andamento")</f>
        <v>0</v>
      </c>
      <c r="F4" s="40"/>
      <c r="G4" s="44">
        <f>COUNTIFS('02_Operacoes'!$F:$F,"&gt;0",'02_Operacoes'!$I:$I,"&lt;&gt;*[[APS_*",'02_Operacoes'!$A:$A,"&lt;&gt;SETUP",'02_Operacoes'!$A:$A,"&lt;&gt;LIMPEZA",'02_Operacoes'!$H:$H,"Concluída")</f>
        <v>2</v>
      </c>
      <c r="H4" s="40"/>
      <c r="I4" s="44">
        <f>COUNTIFS('02_Operacoes'!$F:$F,"&gt;0",'02_Operacoes'!$I:$I,"&lt;&gt;*[[APS_*",'02_Operacoes'!$A:$A,"&lt;&gt;SETUP",'02_Operacoes'!$A:$A,"&lt;&gt;LIMPEZA",'02_Operacoes'!$H:$H,"Atrasada")</f>
        <v>0</v>
      </c>
      <c r="J4" s="40"/>
      <c r="K4" s="43">
        <f>SUMIFS('02_Operacoes'!$K:$K,'02_Operacoes'!$F:$F,"&gt;0",'02_Operacoes'!$I:$I,"&lt;&gt;*[[APS_*",'02_Operacoes'!$A:$A,"&lt;&gt;SETUP",'02_Operacoes'!$A:$A,"&lt;&gt;LIMPEZA")*24</f>
        <v>21.333333333333332</v>
      </c>
      <c r="L4" s="40"/>
      <c r="M4" s="45">
        <f ca="1">APS_DashOcupacaoMedia()</f>
        <v>1</v>
      </c>
      <c r="N4" s="40"/>
    </row>
  </sheetData>
  <mergeCells count="15">
    <mergeCell ref="I3:J3"/>
    <mergeCell ref="M3:N3"/>
    <mergeCell ref="A1:H1"/>
    <mergeCell ref="K4:L4"/>
    <mergeCell ref="C3:D3"/>
    <mergeCell ref="A3:B3"/>
    <mergeCell ref="G3:H3"/>
    <mergeCell ref="E3:F3"/>
    <mergeCell ref="K3:L3"/>
    <mergeCell ref="C4:D4"/>
    <mergeCell ref="A4:B4"/>
    <mergeCell ref="G4:H4"/>
    <mergeCell ref="E4:F4"/>
    <mergeCell ref="I4:J4"/>
    <mergeCell ref="M4:N4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theme="3" tint="0.39997558519241921"/>
  </sheetPr>
  <dimension ref="A1:AEK27"/>
  <sheetViews>
    <sheetView tabSelected="1" zoomScale="90" zoomScaleNormal="90" workbookViewId="0">
      <pane xSplit="1" ySplit="3" topLeftCell="ACP4" activePane="bottomRight" state="frozen"/>
      <selection pane="topRight" activeCell="B1" sqref="B1"/>
      <selection pane="bottomLeft" activeCell="A4" sqref="A4"/>
      <selection pane="bottomRight" activeCell="A3" sqref="A3"/>
    </sheetView>
  </sheetViews>
  <sheetFormatPr defaultRowHeight="15" x14ac:dyDescent="0.25"/>
  <cols>
    <col min="1" max="1" width="26.7109375" customWidth="1"/>
    <col min="2" max="817" width="4.42578125" customWidth="1"/>
  </cols>
  <sheetData>
    <row r="1" spans="1:817" ht="78" customHeight="1" x14ac:dyDescent="0.25">
      <c r="A1" s="7" t="s">
        <v>54</v>
      </c>
      <c r="B1" s="46">
        <v>46282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6">
        <v>46283</v>
      </c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6">
        <v>46284</v>
      </c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6">
        <v>46285</v>
      </c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6">
        <v>46286</v>
      </c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6">
        <v>46287</v>
      </c>
      <c r="DS1" s="47"/>
      <c r="DT1" s="47"/>
      <c r="DU1" s="47"/>
      <c r="DV1" s="47"/>
      <c r="DW1" s="47"/>
      <c r="DX1" s="47"/>
      <c r="DY1" s="47"/>
      <c r="DZ1" s="47"/>
      <c r="EA1" s="47"/>
      <c r="EB1" s="47"/>
      <c r="EC1" s="47"/>
      <c r="ED1" s="47"/>
      <c r="EE1" s="47"/>
      <c r="EF1" s="47"/>
      <c r="EG1" s="47"/>
      <c r="EH1" s="47"/>
      <c r="EI1" s="47"/>
      <c r="EJ1" s="47"/>
      <c r="EK1" s="47"/>
      <c r="EL1" s="47"/>
      <c r="EM1" s="47"/>
      <c r="EN1" s="47"/>
      <c r="EO1" s="47"/>
      <c r="EP1" s="46">
        <v>46288</v>
      </c>
      <c r="EQ1" s="47"/>
      <c r="ER1" s="47"/>
      <c r="ES1" s="47"/>
      <c r="ET1" s="47"/>
      <c r="EU1" s="47"/>
      <c r="EV1" s="47"/>
      <c r="EW1" s="47"/>
      <c r="EX1" s="47"/>
      <c r="EY1" s="47"/>
      <c r="EZ1" s="47"/>
      <c r="FA1" s="47"/>
      <c r="FB1" s="47"/>
      <c r="FC1" s="47"/>
      <c r="FD1" s="47"/>
      <c r="FE1" s="47"/>
      <c r="FF1" s="47"/>
      <c r="FG1" s="47"/>
      <c r="FH1" s="47"/>
      <c r="FI1" s="47"/>
      <c r="FJ1" s="47"/>
      <c r="FK1" s="47"/>
      <c r="FL1" s="47"/>
      <c r="FM1" s="47"/>
      <c r="FN1" s="46">
        <v>46289</v>
      </c>
      <c r="FO1" s="47"/>
      <c r="FP1" s="47"/>
      <c r="FQ1" s="47"/>
      <c r="FR1" s="47"/>
      <c r="FS1" s="47"/>
      <c r="FT1" s="47"/>
      <c r="FU1" s="47"/>
      <c r="FV1" s="47"/>
      <c r="FW1" s="47"/>
      <c r="FX1" s="47"/>
      <c r="FY1" s="47"/>
      <c r="FZ1" s="47"/>
      <c r="GA1" s="47"/>
      <c r="GB1" s="47"/>
      <c r="GC1" s="47"/>
      <c r="GD1" s="47"/>
      <c r="GE1" s="47"/>
      <c r="GF1" s="47"/>
      <c r="GG1" s="47"/>
      <c r="GH1" s="47"/>
      <c r="GI1" s="47"/>
      <c r="GJ1" s="47"/>
      <c r="GK1" s="47"/>
      <c r="GL1" s="46">
        <v>46290</v>
      </c>
      <c r="GM1" s="47"/>
      <c r="GN1" s="47"/>
      <c r="GO1" s="47"/>
      <c r="GP1" s="47"/>
      <c r="GQ1" s="47"/>
      <c r="GR1" s="47"/>
      <c r="GS1" s="47"/>
      <c r="GT1" s="47"/>
      <c r="GU1" s="47"/>
      <c r="GV1" s="47"/>
      <c r="GW1" s="47"/>
      <c r="GX1" s="47"/>
      <c r="GY1" s="47"/>
      <c r="GZ1" s="47"/>
      <c r="HA1" s="47"/>
      <c r="HB1" s="47"/>
      <c r="HC1" s="47"/>
      <c r="HD1" s="47"/>
      <c r="HE1" s="47"/>
      <c r="HF1" s="47"/>
      <c r="HG1" s="47"/>
      <c r="HH1" s="47"/>
      <c r="HI1" s="47"/>
      <c r="HJ1" s="46">
        <v>46291</v>
      </c>
      <c r="HK1" s="47"/>
      <c r="HL1" s="47"/>
      <c r="HM1" s="47"/>
      <c r="HN1" s="47"/>
      <c r="HO1" s="47"/>
      <c r="HP1" s="47"/>
      <c r="HQ1" s="47"/>
      <c r="HR1" s="47"/>
      <c r="HS1" s="47"/>
      <c r="HT1" s="47"/>
      <c r="HU1" s="47"/>
      <c r="HV1" s="47"/>
      <c r="HW1" s="47"/>
      <c r="HX1" s="47"/>
      <c r="HY1" s="47"/>
      <c r="HZ1" s="47"/>
      <c r="IA1" s="47"/>
      <c r="IB1" s="47"/>
      <c r="IC1" s="47"/>
      <c r="ID1" s="47"/>
      <c r="IE1" s="47"/>
      <c r="IF1" s="47"/>
      <c r="IG1" s="47"/>
      <c r="IH1" s="46">
        <v>46292</v>
      </c>
      <c r="II1" s="47"/>
      <c r="IJ1" s="47"/>
      <c r="IK1" s="47"/>
      <c r="IL1" s="47"/>
      <c r="IM1" s="47"/>
      <c r="IN1" s="47"/>
      <c r="IO1" s="47"/>
      <c r="IP1" s="47"/>
      <c r="IQ1" s="47"/>
      <c r="IR1" s="47"/>
      <c r="IS1" s="47"/>
      <c r="IT1" s="47"/>
      <c r="IU1" s="47"/>
      <c r="IV1" s="47"/>
      <c r="IW1" s="47"/>
      <c r="IX1" s="47"/>
      <c r="IY1" s="47"/>
      <c r="IZ1" s="47"/>
      <c r="JA1" s="47"/>
      <c r="JB1" s="47"/>
      <c r="JC1" s="47"/>
      <c r="JD1" s="47"/>
      <c r="JE1" s="47"/>
      <c r="JF1" s="46">
        <v>46293</v>
      </c>
      <c r="JG1" s="47"/>
      <c r="JH1" s="47"/>
      <c r="JI1" s="47"/>
      <c r="JJ1" s="47"/>
      <c r="JK1" s="47"/>
      <c r="JL1" s="47"/>
      <c r="JM1" s="47"/>
      <c r="JN1" s="47"/>
      <c r="JO1" s="47"/>
      <c r="JP1" s="47"/>
      <c r="JQ1" s="47"/>
      <c r="JR1" s="47"/>
      <c r="JS1" s="47"/>
      <c r="JT1" s="47"/>
      <c r="JU1" s="47"/>
      <c r="JV1" s="47"/>
      <c r="JW1" s="47"/>
      <c r="JX1" s="47"/>
      <c r="JY1" s="47"/>
      <c r="JZ1" s="47"/>
      <c r="KA1" s="47"/>
      <c r="KB1" s="47"/>
      <c r="KC1" s="47"/>
      <c r="KD1" s="46">
        <v>46294</v>
      </c>
      <c r="KE1" s="47"/>
      <c r="KF1" s="47"/>
      <c r="KG1" s="47"/>
      <c r="KH1" s="47"/>
      <c r="KI1" s="47"/>
      <c r="KJ1" s="47"/>
      <c r="KK1" s="47"/>
      <c r="KL1" s="47"/>
      <c r="KM1" s="47"/>
      <c r="KN1" s="47"/>
      <c r="KO1" s="47"/>
      <c r="KP1" s="47"/>
      <c r="KQ1" s="47"/>
      <c r="KR1" s="47"/>
      <c r="KS1" s="47"/>
      <c r="KT1" s="47"/>
      <c r="KU1" s="47"/>
      <c r="KV1" s="47"/>
      <c r="KW1" s="47"/>
      <c r="KX1" s="47"/>
      <c r="KY1" s="47"/>
      <c r="KZ1" s="47"/>
      <c r="LA1" s="47"/>
      <c r="LB1" s="46">
        <v>46295</v>
      </c>
      <c r="LC1" s="47"/>
      <c r="LD1" s="47"/>
      <c r="LE1" s="47"/>
      <c r="LF1" s="47"/>
      <c r="LG1" s="47"/>
      <c r="LH1" s="47"/>
      <c r="LI1" s="47"/>
      <c r="LJ1" s="47"/>
      <c r="LK1" s="47"/>
      <c r="LL1" s="47"/>
      <c r="LM1" s="47"/>
      <c r="LN1" s="47"/>
      <c r="LO1" s="47"/>
      <c r="LP1" s="47"/>
      <c r="LQ1" s="47"/>
      <c r="LR1" s="47"/>
      <c r="LS1" s="47"/>
      <c r="LT1" s="47"/>
      <c r="LU1" s="47"/>
      <c r="LV1" s="47"/>
      <c r="LW1" s="47"/>
      <c r="LX1" s="47"/>
      <c r="LY1" s="47"/>
      <c r="LZ1" s="46">
        <v>46296</v>
      </c>
      <c r="MA1" s="47"/>
      <c r="MB1" s="47"/>
      <c r="MC1" s="47"/>
      <c r="MD1" s="47"/>
      <c r="ME1" s="47"/>
      <c r="MF1" s="47"/>
      <c r="MG1" s="47"/>
      <c r="MH1" s="47"/>
      <c r="MI1" s="47"/>
      <c r="MJ1" s="47"/>
      <c r="MK1" s="47"/>
      <c r="ML1" s="47"/>
      <c r="MM1" s="47"/>
      <c r="MN1" s="47"/>
      <c r="MO1" s="47"/>
      <c r="MP1" s="47"/>
      <c r="MQ1" s="47"/>
      <c r="MR1" s="47"/>
      <c r="MS1" s="47"/>
      <c r="MT1" s="47"/>
      <c r="MU1" s="47"/>
      <c r="MV1" s="47"/>
      <c r="MW1" s="47"/>
      <c r="MX1" s="46">
        <v>46297</v>
      </c>
      <c r="MY1" s="47"/>
      <c r="MZ1" s="47"/>
      <c r="NA1" s="47"/>
      <c r="NB1" s="47"/>
      <c r="NC1" s="47"/>
      <c r="ND1" s="47"/>
      <c r="NE1" s="47"/>
      <c r="NF1" s="47"/>
      <c r="NG1" s="47"/>
      <c r="NH1" s="47"/>
      <c r="NI1" s="47"/>
      <c r="NJ1" s="47"/>
      <c r="NK1" s="47"/>
      <c r="NL1" s="47"/>
      <c r="NM1" s="47"/>
      <c r="NN1" s="47"/>
      <c r="NO1" s="47"/>
      <c r="NP1" s="47"/>
      <c r="NQ1" s="47"/>
      <c r="NR1" s="47"/>
      <c r="NS1" s="47"/>
      <c r="NT1" s="47"/>
      <c r="NU1" s="47"/>
      <c r="NV1" s="46">
        <v>46298</v>
      </c>
      <c r="NW1" s="47"/>
      <c r="NX1" s="47"/>
      <c r="NY1" s="47"/>
      <c r="NZ1" s="47"/>
      <c r="OA1" s="47"/>
      <c r="OB1" s="47"/>
      <c r="OC1" s="47"/>
      <c r="OD1" s="47"/>
      <c r="OE1" s="47"/>
      <c r="OF1" s="47"/>
      <c r="OG1" s="47"/>
      <c r="OH1" s="47"/>
      <c r="OI1" s="47"/>
      <c r="OJ1" s="47"/>
      <c r="OK1" s="47"/>
      <c r="OL1" s="47"/>
      <c r="OM1" s="47"/>
      <c r="ON1" s="47"/>
      <c r="OO1" s="47"/>
      <c r="OP1" s="47"/>
      <c r="OQ1" s="47"/>
      <c r="OR1" s="47"/>
      <c r="OS1" s="47"/>
      <c r="OT1" s="46">
        <v>46299</v>
      </c>
      <c r="OU1" s="47"/>
      <c r="OV1" s="47"/>
      <c r="OW1" s="47"/>
      <c r="OX1" s="47"/>
      <c r="OY1" s="47"/>
      <c r="OZ1" s="47"/>
      <c r="PA1" s="47"/>
      <c r="PB1" s="47"/>
      <c r="PC1" s="47"/>
      <c r="PD1" s="47"/>
      <c r="PE1" s="47"/>
      <c r="PF1" s="47"/>
      <c r="PG1" s="47"/>
      <c r="PH1" s="47"/>
      <c r="PI1" s="47"/>
      <c r="PJ1" s="47"/>
      <c r="PK1" s="47"/>
      <c r="PL1" s="47"/>
      <c r="PM1" s="47"/>
      <c r="PN1" s="47"/>
      <c r="PO1" s="47"/>
      <c r="PP1" s="47"/>
      <c r="PQ1" s="47"/>
      <c r="PR1" s="46">
        <v>46300</v>
      </c>
      <c r="PS1" s="47"/>
      <c r="PT1" s="47"/>
      <c r="PU1" s="47"/>
      <c r="PV1" s="47"/>
      <c r="PW1" s="47"/>
      <c r="PX1" s="47"/>
      <c r="PY1" s="47"/>
      <c r="PZ1" s="47"/>
      <c r="QA1" s="47"/>
      <c r="QB1" s="47"/>
      <c r="QC1" s="47"/>
      <c r="QD1" s="47"/>
      <c r="QE1" s="47"/>
      <c r="QF1" s="47"/>
      <c r="QG1" s="47"/>
      <c r="QH1" s="47"/>
      <c r="QI1" s="47"/>
      <c r="QJ1" s="47"/>
      <c r="QK1" s="47"/>
      <c r="QL1" s="47"/>
      <c r="QM1" s="47"/>
      <c r="QN1" s="47"/>
      <c r="QO1" s="47"/>
      <c r="QP1" s="46">
        <v>46301</v>
      </c>
      <c r="QQ1" s="47"/>
      <c r="QR1" s="47"/>
      <c r="QS1" s="47"/>
      <c r="QT1" s="47"/>
      <c r="QU1" s="47"/>
      <c r="QV1" s="47"/>
      <c r="QW1" s="47"/>
      <c r="QX1" s="47"/>
      <c r="QY1" s="47"/>
      <c r="QZ1" s="47"/>
      <c r="RA1" s="47"/>
      <c r="RB1" s="47"/>
      <c r="RC1" s="47"/>
      <c r="RD1" s="47"/>
      <c r="RE1" s="47"/>
      <c r="RF1" s="47"/>
      <c r="RG1" s="47"/>
      <c r="RH1" s="47"/>
      <c r="RI1" s="47"/>
      <c r="RJ1" s="47"/>
      <c r="RK1" s="47"/>
      <c r="RL1" s="47"/>
      <c r="RM1" s="47"/>
      <c r="RN1" s="46">
        <v>46302</v>
      </c>
      <c r="RO1" s="47"/>
      <c r="RP1" s="47"/>
      <c r="RQ1" s="47"/>
      <c r="RR1" s="47"/>
      <c r="RS1" s="47"/>
      <c r="RT1" s="47"/>
      <c r="RU1" s="47"/>
      <c r="RV1" s="47"/>
      <c r="RW1" s="47"/>
      <c r="RX1" s="47"/>
      <c r="RY1" s="47"/>
      <c r="RZ1" s="47"/>
      <c r="SA1" s="47"/>
      <c r="SB1" s="47"/>
      <c r="SC1" s="47"/>
      <c r="SD1" s="47"/>
      <c r="SE1" s="47"/>
      <c r="SF1" s="47"/>
      <c r="SG1" s="47"/>
      <c r="SH1" s="47"/>
      <c r="SI1" s="47"/>
      <c r="SJ1" s="47"/>
      <c r="SK1" s="47"/>
      <c r="SL1" s="46">
        <v>46303</v>
      </c>
      <c r="SM1" s="47"/>
      <c r="SN1" s="47"/>
      <c r="SO1" s="47"/>
      <c r="SP1" s="47"/>
      <c r="SQ1" s="47"/>
      <c r="SR1" s="47"/>
      <c r="SS1" s="47"/>
      <c r="ST1" s="47"/>
      <c r="SU1" s="47"/>
      <c r="SV1" s="47"/>
      <c r="SW1" s="47"/>
      <c r="SX1" s="47"/>
      <c r="SY1" s="47"/>
      <c r="SZ1" s="47"/>
      <c r="TA1" s="47"/>
      <c r="TB1" s="47"/>
      <c r="TC1" s="47"/>
      <c r="TD1" s="47"/>
      <c r="TE1" s="47"/>
      <c r="TF1" s="47"/>
      <c r="TG1" s="47"/>
      <c r="TH1" s="47"/>
      <c r="TI1" s="47"/>
      <c r="TJ1" s="46">
        <v>46304</v>
      </c>
      <c r="TK1" s="47"/>
      <c r="TL1" s="47"/>
      <c r="TM1" s="47"/>
      <c r="TN1" s="47"/>
      <c r="TO1" s="47"/>
      <c r="TP1" s="47"/>
      <c r="TQ1" s="47"/>
      <c r="TR1" s="47"/>
      <c r="TS1" s="47"/>
      <c r="TT1" s="47"/>
      <c r="TU1" s="47"/>
      <c r="TV1" s="47"/>
      <c r="TW1" s="47"/>
      <c r="TX1" s="47"/>
      <c r="TY1" s="47"/>
      <c r="TZ1" s="47"/>
      <c r="UA1" s="47"/>
      <c r="UB1" s="47"/>
      <c r="UC1" s="47"/>
      <c r="UD1" s="47"/>
      <c r="UE1" s="47"/>
      <c r="UF1" s="47"/>
      <c r="UG1" s="47"/>
      <c r="UH1" s="46">
        <v>46305</v>
      </c>
      <c r="UI1" s="47"/>
      <c r="UJ1" s="47"/>
      <c r="UK1" s="47"/>
      <c r="UL1" s="47"/>
      <c r="UM1" s="47"/>
      <c r="UN1" s="47"/>
      <c r="UO1" s="47"/>
      <c r="UP1" s="47"/>
      <c r="UQ1" s="47"/>
      <c r="UR1" s="47"/>
      <c r="US1" s="47"/>
      <c r="UT1" s="47"/>
      <c r="UU1" s="47"/>
      <c r="UV1" s="47"/>
      <c r="UW1" s="47"/>
      <c r="UX1" s="47"/>
      <c r="UY1" s="47"/>
      <c r="UZ1" s="47"/>
      <c r="VA1" s="47"/>
      <c r="VB1" s="47"/>
      <c r="VC1" s="47"/>
      <c r="VD1" s="47"/>
      <c r="VE1" s="47"/>
      <c r="VF1" s="46">
        <v>46306</v>
      </c>
      <c r="VG1" s="47"/>
      <c r="VH1" s="47"/>
      <c r="VI1" s="47"/>
      <c r="VJ1" s="47"/>
      <c r="VK1" s="47"/>
      <c r="VL1" s="47"/>
      <c r="VM1" s="47"/>
      <c r="VN1" s="47"/>
      <c r="VO1" s="47"/>
      <c r="VP1" s="47"/>
      <c r="VQ1" s="47"/>
      <c r="VR1" s="47"/>
      <c r="VS1" s="47"/>
      <c r="VT1" s="47"/>
      <c r="VU1" s="47"/>
      <c r="VV1" s="47"/>
      <c r="VW1" s="47"/>
      <c r="VX1" s="47"/>
      <c r="VY1" s="47"/>
      <c r="VZ1" s="47"/>
      <c r="WA1" s="47"/>
      <c r="WB1" s="47"/>
      <c r="WC1" s="47"/>
      <c r="WD1" s="46">
        <v>46307</v>
      </c>
      <c r="WE1" s="47"/>
      <c r="WF1" s="47"/>
      <c r="WG1" s="47"/>
      <c r="WH1" s="47"/>
      <c r="WI1" s="47"/>
      <c r="WJ1" s="47"/>
      <c r="WK1" s="47"/>
      <c r="WL1" s="47"/>
      <c r="WM1" s="47"/>
      <c r="WN1" s="47"/>
      <c r="WO1" s="47"/>
      <c r="WP1" s="47"/>
      <c r="WQ1" s="47"/>
      <c r="WR1" s="47"/>
      <c r="WS1" s="47"/>
      <c r="WT1" s="47"/>
      <c r="WU1" s="47"/>
      <c r="WV1" s="47"/>
      <c r="WW1" s="47"/>
      <c r="WX1" s="47"/>
      <c r="WY1" s="47"/>
      <c r="WZ1" s="47"/>
      <c r="XA1" s="47"/>
      <c r="XB1" s="46">
        <v>46308</v>
      </c>
      <c r="XC1" s="47"/>
      <c r="XD1" s="47"/>
      <c r="XE1" s="47"/>
      <c r="XF1" s="47"/>
      <c r="XG1" s="47"/>
      <c r="XH1" s="47"/>
      <c r="XI1" s="47"/>
      <c r="XJ1" s="47"/>
      <c r="XK1" s="47"/>
      <c r="XL1" s="47"/>
      <c r="XM1" s="47"/>
      <c r="XN1" s="47"/>
      <c r="XO1" s="47"/>
      <c r="XP1" s="47"/>
      <c r="XQ1" s="47"/>
      <c r="XR1" s="47"/>
      <c r="XS1" s="47"/>
      <c r="XT1" s="47"/>
      <c r="XU1" s="47"/>
      <c r="XV1" s="47"/>
      <c r="XW1" s="47"/>
      <c r="XX1" s="47"/>
      <c r="XY1" s="47"/>
      <c r="XZ1" s="46">
        <v>46309</v>
      </c>
      <c r="YA1" s="47"/>
      <c r="YB1" s="47"/>
      <c r="YC1" s="47"/>
      <c r="YD1" s="47"/>
      <c r="YE1" s="47"/>
      <c r="YF1" s="47"/>
      <c r="YG1" s="47"/>
      <c r="YH1" s="47"/>
      <c r="YI1" s="47"/>
      <c r="YJ1" s="47"/>
      <c r="YK1" s="47"/>
      <c r="YL1" s="47"/>
      <c r="YM1" s="47"/>
      <c r="YN1" s="47"/>
      <c r="YO1" s="47"/>
      <c r="YP1" s="47"/>
      <c r="YQ1" s="47"/>
      <c r="YR1" s="47"/>
      <c r="YS1" s="47"/>
      <c r="YT1" s="47"/>
      <c r="YU1" s="47"/>
      <c r="YV1" s="47"/>
      <c r="YW1" s="47"/>
      <c r="YX1" s="46">
        <v>46310</v>
      </c>
      <c r="YY1" s="47"/>
      <c r="YZ1" s="47"/>
      <c r="ZA1" s="47"/>
      <c r="ZB1" s="47"/>
      <c r="ZC1" s="47"/>
      <c r="ZD1" s="47"/>
      <c r="ZE1" s="47"/>
      <c r="ZF1" s="47"/>
      <c r="ZG1" s="47"/>
      <c r="ZH1" s="47"/>
      <c r="ZI1" s="47"/>
      <c r="ZJ1" s="47"/>
      <c r="ZK1" s="47"/>
      <c r="ZL1" s="47"/>
      <c r="ZM1" s="47"/>
      <c r="ZN1" s="47"/>
      <c r="ZO1" s="47"/>
      <c r="ZP1" s="47"/>
      <c r="ZQ1" s="47"/>
      <c r="ZR1" s="47"/>
      <c r="ZS1" s="47"/>
      <c r="ZT1" s="47"/>
      <c r="ZU1" s="47"/>
      <c r="ZV1" s="46">
        <v>46311</v>
      </c>
      <c r="ZW1" s="47"/>
      <c r="ZX1" s="47"/>
      <c r="ZY1" s="47"/>
      <c r="ZZ1" s="47"/>
      <c r="AAA1" s="47"/>
      <c r="AAB1" s="47"/>
      <c r="AAC1" s="47"/>
      <c r="AAD1" s="47"/>
      <c r="AAE1" s="47"/>
      <c r="AAF1" s="47"/>
      <c r="AAG1" s="47"/>
      <c r="AAH1" s="47"/>
      <c r="AAI1" s="47"/>
      <c r="AAJ1" s="47"/>
      <c r="AAK1" s="47"/>
      <c r="AAL1" s="47"/>
      <c r="AAM1" s="47"/>
      <c r="AAN1" s="47"/>
      <c r="AAO1" s="47"/>
      <c r="AAP1" s="47"/>
      <c r="AAQ1" s="47"/>
      <c r="AAR1" s="47"/>
      <c r="AAS1" s="47"/>
      <c r="AAT1" s="46">
        <v>46312</v>
      </c>
      <c r="AAU1" s="47"/>
      <c r="AAV1" s="47"/>
      <c r="AAW1" s="47"/>
      <c r="AAX1" s="47"/>
      <c r="AAY1" s="47"/>
      <c r="AAZ1" s="47"/>
      <c r="ABA1" s="47"/>
      <c r="ABB1" s="47"/>
      <c r="ABC1" s="47"/>
      <c r="ABD1" s="47"/>
      <c r="ABE1" s="47"/>
      <c r="ABF1" s="47"/>
      <c r="ABG1" s="47"/>
      <c r="ABH1" s="47"/>
      <c r="ABI1" s="47"/>
      <c r="ABJ1" s="47"/>
      <c r="ABK1" s="47"/>
      <c r="ABL1" s="47"/>
      <c r="ABM1" s="47"/>
      <c r="ABN1" s="47"/>
      <c r="ABO1" s="47"/>
      <c r="ABP1" s="47"/>
      <c r="ABQ1" s="47"/>
      <c r="ABR1" s="46">
        <v>46313</v>
      </c>
      <c r="ABS1" s="47"/>
      <c r="ABT1" s="47"/>
      <c r="ABU1" s="47"/>
      <c r="ABV1" s="47"/>
      <c r="ABW1" s="47"/>
      <c r="ABX1" s="47"/>
      <c r="ABY1" s="47"/>
      <c r="ABZ1" s="47"/>
      <c r="ACA1" s="47"/>
      <c r="ACB1" s="47"/>
      <c r="ACC1" s="47"/>
      <c r="ACD1" s="47"/>
      <c r="ACE1" s="47"/>
      <c r="ACF1" s="47"/>
      <c r="ACG1" s="47"/>
      <c r="ACH1" s="47"/>
      <c r="ACI1" s="47"/>
      <c r="ACJ1" s="47"/>
      <c r="ACK1" s="47"/>
      <c r="ACL1" s="47"/>
      <c r="ACM1" s="47"/>
      <c r="ACN1" s="47"/>
      <c r="ACO1" s="47"/>
      <c r="ACP1" s="46">
        <v>46314</v>
      </c>
      <c r="ACQ1" s="47"/>
      <c r="ACR1" s="47"/>
      <c r="ACS1" s="47"/>
      <c r="ACT1" s="47"/>
      <c r="ACU1" s="47"/>
      <c r="ACV1" s="47"/>
      <c r="ACW1" s="47"/>
      <c r="ACX1" s="47"/>
      <c r="ACY1" s="47"/>
      <c r="ACZ1" s="47"/>
      <c r="ADA1" s="47"/>
      <c r="ADB1" s="47"/>
      <c r="ADC1" s="47"/>
      <c r="ADD1" s="47"/>
      <c r="ADE1" s="47"/>
      <c r="ADF1" s="47"/>
      <c r="ADG1" s="47"/>
      <c r="ADH1" s="47"/>
      <c r="ADI1" s="47"/>
      <c r="ADJ1" s="47"/>
      <c r="ADK1" s="47"/>
      <c r="ADL1" s="47"/>
      <c r="ADM1" s="47"/>
      <c r="ADN1" s="46">
        <v>46315</v>
      </c>
      <c r="ADO1" s="47"/>
      <c r="ADP1" s="47"/>
      <c r="ADQ1" s="47"/>
      <c r="ADR1" s="47"/>
      <c r="ADS1" s="47"/>
      <c r="ADT1" s="47"/>
      <c r="ADU1" s="47"/>
      <c r="ADV1" s="47"/>
      <c r="ADW1" s="47"/>
      <c r="ADX1" s="47"/>
      <c r="ADY1" s="47"/>
      <c r="ADZ1" s="47"/>
      <c r="AEA1" s="47"/>
      <c r="AEB1" s="47"/>
      <c r="AEC1" s="47"/>
      <c r="AED1" s="47"/>
      <c r="AEE1" s="47"/>
      <c r="AEF1" s="47"/>
      <c r="AEG1" s="47"/>
      <c r="AEH1" s="47"/>
      <c r="AEI1" s="47"/>
      <c r="AEJ1" s="47"/>
      <c r="AEK1" s="47"/>
    </row>
    <row r="2" spans="1:817" x14ac:dyDescent="0.25">
      <c r="A2" s="1" t="s">
        <v>8</v>
      </c>
      <c r="B2" s="2" t="s">
        <v>9</v>
      </c>
      <c r="C2" s="2" t="s">
        <v>9</v>
      </c>
      <c r="D2" s="2" t="s">
        <v>9</v>
      </c>
      <c r="E2" s="2" t="s">
        <v>9</v>
      </c>
      <c r="F2" s="2" t="s">
        <v>9</v>
      </c>
      <c r="G2" s="2" t="s">
        <v>9</v>
      </c>
      <c r="H2" s="2" t="s">
        <v>9</v>
      </c>
      <c r="I2" s="2" t="s">
        <v>9</v>
      </c>
      <c r="J2" s="2" t="s">
        <v>9</v>
      </c>
      <c r="K2" s="2" t="s">
        <v>9</v>
      </c>
      <c r="L2" s="2" t="s">
        <v>9</v>
      </c>
      <c r="M2" s="2" t="s">
        <v>9</v>
      </c>
      <c r="N2" s="2" t="s">
        <v>9</v>
      </c>
      <c r="O2" s="2" t="s">
        <v>9</v>
      </c>
      <c r="P2" s="2" t="s">
        <v>9</v>
      </c>
      <c r="Q2" s="2" t="s">
        <v>9</v>
      </c>
      <c r="R2" s="2" t="s">
        <v>9</v>
      </c>
      <c r="S2" s="2" t="s">
        <v>9</v>
      </c>
      <c r="T2" s="2" t="s">
        <v>9</v>
      </c>
      <c r="U2" s="2" t="s">
        <v>9</v>
      </c>
      <c r="V2" s="2" t="s">
        <v>9</v>
      </c>
      <c r="W2" s="2" t="s">
        <v>9</v>
      </c>
      <c r="X2" s="2" t="s">
        <v>9</v>
      </c>
      <c r="Y2" s="2" t="s">
        <v>9</v>
      </c>
      <c r="Z2" s="2" t="s">
        <v>9</v>
      </c>
      <c r="AA2" s="2" t="s">
        <v>9</v>
      </c>
      <c r="AB2" s="2" t="s">
        <v>9</v>
      </c>
      <c r="AC2" s="2" t="s">
        <v>9</v>
      </c>
      <c r="AD2" s="2" t="s">
        <v>9</v>
      </c>
      <c r="AE2" s="2" t="s">
        <v>9</v>
      </c>
      <c r="AF2" s="2" t="s">
        <v>9</v>
      </c>
      <c r="AG2" s="2" t="s">
        <v>9</v>
      </c>
      <c r="AH2" s="2" t="s">
        <v>9</v>
      </c>
      <c r="AI2" s="2" t="s">
        <v>9</v>
      </c>
      <c r="AJ2" s="2" t="s">
        <v>9</v>
      </c>
      <c r="AK2" s="2" t="s">
        <v>9</v>
      </c>
      <c r="AL2" s="2" t="s">
        <v>9</v>
      </c>
      <c r="AM2" s="2" t="s">
        <v>9</v>
      </c>
      <c r="AN2" s="2" t="s">
        <v>9</v>
      </c>
      <c r="AO2" s="2" t="s">
        <v>9</v>
      </c>
      <c r="AP2" s="2" t="s">
        <v>9</v>
      </c>
      <c r="AQ2" s="2" t="s">
        <v>9</v>
      </c>
      <c r="AR2" s="2" t="s">
        <v>9</v>
      </c>
      <c r="AS2" s="2" t="s">
        <v>9</v>
      </c>
      <c r="AT2" s="2" t="s">
        <v>9</v>
      </c>
      <c r="AU2" s="2" t="s">
        <v>9</v>
      </c>
      <c r="AV2" s="2" t="s">
        <v>9</v>
      </c>
      <c r="AW2" s="2" t="s">
        <v>9</v>
      </c>
      <c r="AX2" s="2" t="s">
        <v>9</v>
      </c>
      <c r="AY2" s="2" t="s">
        <v>9</v>
      </c>
      <c r="AZ2" s="2" t="s">
        <v>9</v>
      </c>
      <c r="BA2" s="2" t="s">
        <v>9</v>
      </c>
      <c r="BB2" s="2" t="s">
        <v>9</v>
      </c>
      <c r="BC2" s="2" t="s">
        <v>9</v>
      </c>
      <c r="BD2" s="2" t="s">
        <v>9</v>
      </c>
      <c r="BE2" s="2" t="s">
        <v>9</v>
      </c>
      <c r="BF2" s="2" t="s">
        <v>9</v>
      </c>
      <c r="BG2" s="2" t="s">
        <v>9</v>
      </c>
      <c r="BH2" s="2" t="s">
        <v>9</v>
      </c>
      <c r="BI2" s="2" t="s">
        <v>9</v>
      </c>
      <c r="BJ2" s="2" t="s">
        <v>9</v>
      </c>
      <c r="BK2" s="2" t="s">
        <v>9</v>
      </c>
      <c r="BL2" s="2" t="s">
        <v>9</v>
      </c>
      <c r="BM2" s="2" t="s">
        <v>9</v>
      </c>
      <c r="BN2" s="2" t="s">
        <v>9</v>
      </c>
      <c r="BO2" s="2" t="s">
        <v>9</v>
      </c>
      <c r="BP2" s="2" t="s">
        <v>9</v>
      </c>
      <c r="BQ2" s="2" t="s">
        <v>9</v>
      </c>
      <c r="BR2" s="2" t="s">
        <v>9</v>
      </c>
      <c r="BS2" s="2" t="s">
        <v>9</v>
      </c>
      <c r="BT2" s="2" t="s">
        <v>9</v>
      </c>
      <c r="BU2" s="2" t="s">
        <v>9</v>
      </c>
      <c r="BV2" s="2" t="s">
        <v>9</v>
      </c>
      <c r="BW2" s="2" t="s">
        <v>9</v>
      </c>
      <c r="BX2" s="2" t="s">
        <v>9</v>
      </c>
      <c r="BY2" s="2" t="s">
        <v>9</v>
      </c>
      <c r="BZ2" s="2" t="s">
        <v>9</v>
      </c>
      <c r="CA2" s="2" t="s">
        <v>9</v>
      </c>
      <c r="CB2" s="2" t="s">
        <v>9</v>
      </c>
      <c r="CC2" s="2" t="s">
        <v>9</v>
      </c>
      <c r="CD2" s="2" t="s">
        <v>9</v>
      </c>
      <c r="CE2" s="2" t="s">
        <v>9</v>
      </c>
      <c r="CF2" s="2" t="s">
        <v>9</v>
      </c>
      <c r="CG2" s="2" t="s">
        <v>9</v>
      </c>
      <c r="CH2" s="2" t="s">
        <v>9</v>
      </c>
      <c r="CI2" s="2" t="s">
        <v>9</v>
      </c>
      <c r="CJ2" s="2" t="s">
        <v>9</v>
      </c>
      <c r="CK2" s="2" t="s">
        <v>9</v>
      </c>
      <c r="CL2" s="2" t="s">
        <v>9</v>
      </c>
      <c r="CM2" s="2" t="s">
        <v>9</v>
      </c>
      <c r="CN2" s="2" t="s">
        <v>9</v>
      </c>
      <c r="CO2" s="2" t="s">
        <v>9</v>
      </c>
      <c r="CP2" s="2" t="s">
        <v>9</v>
      </c>
      <c r="CQ2" s="2" t="s">
        <v>9</v>
      </c>
      <c r="CR2" s="2" t="s">
        <v>9</v>
      </c>
      <c r="CS2" s="2" t="s">
        <v>9</v>
      </c>
      <c r="CT2" s="2" t="s">
        <v>9</v>
      </c>
      <c r="CU2" s="2" t="s">
        <v>9</v>
      </c>
      <c r="CV2" s="2" t="s">
        <v>9</v>
      </c>
      <c r="CW2" s="2" t="s">
        <v>9</v>
      </c>
      <c r="CX2" s="2" t="s">
        <v>9</v>
      </c>
      <c r="CY2" s="2" t="s">
        <v>9</v>
      </c>
      <c r="CZ2" s="2" t="s">
        <v>9</v>
      </c>
      <c r="DA2" s="2" t="s">
        <v>9</v>
      </c>
      <c r="DB2" s="2" t="s">
        <v>9</v>
      </c>
      <c r="DC2" s="2" t="s">
        <v>9</v>
      </c>
      <c r="DD2" s="2" t="s">
        <v>9</v>
      </c>
      <c r="DE2" s="2" t="s">
        <v>9</v>
      </c>
      <c r="DF2" s="2" t="s">
        <v>9</v>
      </c>
      <c r="DG2" s="2" t="s">
        <v>9</v>
      </c>
      <c r="DH2" s="2" t="s">
        <v>9</v>
      </c>
      <c r="DI2" s="2" t="s">
        <v>9</v>
      </c>
      <c r="DJ2" s="2" t="s">
        <v>9</v>
      </c>
      <c r="DK2" s="2" t="s">
        <v>9</v>
      </c>
      <c r="DL2" s="2" t="s">
        <v>9</v>
      </c>
      <c r="DM2" s="2" t="s">
        <v>9</v>
      </c>
      <c r="DN2" s="2" t="s">
        <v>9</v>
      </c>
      <c r="DO2" s="2" t="s">
        <v>9</v>
      </c>
      <c r="DP2" s="2" t="s">
        <v>9</v>
      </c>
      <c r="DQ2" s="2" t="s">
        <v>9</v>
      </c>
      <c r="DR2" s="2" t="s">
        <v>9</v>
      </c>
      <c r="DS2" s="2" t="s">
        <v>9</v>
      </c>
      <c r="DT2" s="2" t="s">
        <v>9</v>
      </c>
      <c r="DU2" s="2" t="s">
        <v>9</v>
      </c>
      <c r="DV2" s="2" t="s">
        <v>9</v>
      </c>
      <c r="DW2" s="2" t="s">
        <v>9</v>
      </c>
      <c r="DX2" s="2" t="s">
        <v>9</v>
      </c>
      <c r="DY2" s="2" t="s">
        <v>9</v>
      </c>
      <c r="DZ2" s="2" t="s">
        <v>9</v>
      </c>
      <c r="EA2" s="2" t="s">
        <v>9</v>
      </c>
      <c r="EB2" s="2" t="s">
        <v>9</v>
      </c>
      <c r="EC2" s="2" t="s">
        <v>9</v>
      </c>
      <c r="ED2" s="2" t="s">
        <v>9</v>
      </c>
      <c r="EE2" s="2" t="s">
        <v>9</v>
      </c>
      <c r="EF2" s="2" t="s">
        <v>9</v>
      </c>
      <c r="EG2" s="2" t="s">
        <v>9</v>
      </c>
      <c r="EH2" s="2" t="s">
        <v>9</v>
      </c>
      <c r="EI2" s="2" t="s">
        <v>9</v>
      </c>
      <c r="EJ2" s="2" t="s">
        <v>9</v>
      </c>
      <c r="EK2" s="2" t="s">
        <v>9</v>
      </c>
      <c r="EL2" s="2" t="s">
        <v>9</v>
      </c>
      <c r="EM2" s="2" t="s">
        <v>9</v>
      </c>
      <c r="EN2" s="2" t="s">
        <v>9</v>
      </c>
      <c r="EO2" s="2" t="s">
        <v>9</v>
      </c>
      <c r="EP2" s="2" t="s">
        <v>9</v>
      </c>
      <c r="EQ2" s="2" t="s">
        <v>9</v>
      </c>
      <c r="ER2" s="2" t="s">
        <v>9</v>
      </c>
      <c r="ES2" s="2" t="s">
        <v>9</v>
      </c>
      <c r="ET2" s="2" t="s">
        <v>9</v>
      </c>
      <c r="EU2" s="2" t="s">
        <v>9</v>
      </c>
      <c r="EV2" s="2" t="s">
        <v>9</v>
      </c>
      <c r="EW2" s="2" t="s">
        <v>9</v>
      </c>
      <c r="EX2" s="2" t="s">
        <v>9</v>
      </c>
      <c r="EY2" s="2" t="s">
        <v>9</v>
      </c>
      <c r="EZ2" s="2" t="s">
        <v>9</v>
      </c>
      <c r="FA2" s="2" t="s">
        <v>9</v>
      </c>
      <c r="FB2" s="2" t="s">
        <v>9</v>
      </c>
      <c r="FC2" s="2" t="s">
        <v>9</v>
      </c>
      <c r="FD2" s="2" t="s">
        <v>9</v>
      </c>
      <c r="FE2" s="2" t="s">
        <v>9</v>
      </c>
      <c r="FF2" s="2" t="s">
        <v>9</v>
      </c>
      <c r="FG2" s="2" t="s">
        <v>9</v>
      </c>
      <c r="FH2" s="2" t="s">
        <v>9</v>
      </c>
      <c r="FI2" s="2" t="s">
        <v>9</v>
      </c>
      <c r="FJ2" s="2" t="s">
        <v>9</v>
      </c>
      <c r="FK2" s="2" t="s">
        <v>9</v>
      </c>
      <c r="FL2" s="2" t="s">
        <v>9</v>
      </c>
      <c r="FM2" s="2" t="s">
        <v>9</v>
      </c>
      <c r="FN2" s="2" t="s">
        <v>9</v>
      </c>
      <c r="FO2" s="2" t="s">
        <v>9</v>
      </c>
      <c r="FP2" s="2" t="s">
        <v>9</v>
      </c>
      <c r="FQ2" s="2" t="s">
        <v>9</v>
      </c>
      <c r="FR2" s="2" t="s">
        <v>9</v>
      </c>
      <c r="FS2" s="2" t="s">
        <v>9</v>
      </c>
      <c r="FT2" s="2" t="s">
        <v>9</v>
      </c>
      <c r="FU2" s="2" t="s">
        <v>9</v>
      </c>
      <c r="FV2" s="2" t="s">
        <v>9</v>
      </c>
      <c r="FW2" s="2" t="s">
        <v>9</v>
      </c>
      <c r="FX2" s="2" t="s">
        <v>9</v>
      </c>
      <c r="FY2" s="2" t="s">
        <v>9</v>
      </c>
      <c r="FZ2" s="2" t="s">
        <v>9</v>
      </c>
      <c r="GA2" s="2" t="s">
        <v>9</v>
      </c>
      <c r="GB2" s="2" t="s">
        <v>9</v>
      </c>
      <c r="GC2" s="2" t="s">
        <v>9</v>
      </c>
      <c r="GD2" s="2" t="s">
        <v>9</v>
      </c>
      <c r="GE2" s="2" t="s">
        <v>9</v>
      </c>
      <c r="GF2" s="2" t="s">
        <v>9</v>
      </c>
      <c r="GG2" s="2" t="s">
        <v>9</v>
      </c>
      <c r="GH2" s="2" t="s">
        <v>9</v>
      </c>
      <c r="GI2" s="2" t="s">
        <v>9</v>
      </c>
      <c r="GJ2" s="2" t="s">
        <v>9</v>
      </c>
      <c r="GK2" s="2" t="s">
        <v>9</v>
      </c>
      <c r="GL2" s="2" t="s">
        <v>9</v>
      </c>
      <c r="GM2" s="2" t="s">
        <v>9</v>
      </c>
      <c r="GN2" s="2" t="s">
        <v>9</v>
      </c>
      <c r="GO2" s="2" t="s">
        <v>9</v>
      </c>
      <c r="GP2" s="2" t="s">
        <v>9</v>
      </c>
      <c r="GQ2" s="2" t="s">
        <v>9</v>
      </c>
      <c r="GR2" s="2" t="s">
        <v>9</v>
      </c>
      <c r="GS2" s="2" t="s">
        <v>9</v>
      </c>
      <c r="GT2" s="2" t="s">
        <v>9</v>
      </c>
      <c r="GU2" s="2" t="s">
        <v>9</v>
      </c>
      <c r="GV2" s="2" t="s">
        <v>9</v>
      </c>
      <c r="GW2" s="2" t="s">
        <v>9</v>
      </c>
      <c r="GX2" s="2" t="s">
        <v>9</v>
      </c>
      <c r="GY2" s="2" t="s">
        <v>9</v>
      </c>
      <c r="GZ2" s="2" t="s">
        <v>9</v>
      </c>
      <c r="HA2" s="2" t="s">
        <v>9</v>
      </c>
      <c r="HB2" s="2" t="s">
        <v>9</v>
      </c>
      <c r="HC2" s="2" t="s">
        <v>9</v>
      </c>
      <c r="HD2" s="2" t="s">
        <v>9</v>
      </c>
      <c r="HE2" s="2" t="s">
        <v>9</v>
      </c>
      <c r="HF2" s="2" t="s">
        <v>9</v>
      </c>
      <c r="HG2" s="2" t="s">
        <v>9</v>
      </c>
      <c r="HH2" s="2" t="s">
        <v>9</v>
      </c>
      <c r="HI2" s="2" t="s">
        <v>9</v>
      </c>
      <c r="HJ2" s="2" t="s">
        <v>9</v>
      </c>
      <c r="HK2" s="2" t="s">
        <v>9</v>
      </c>
      <c r="HL2" s="2" t="s">
        <v>9</v>
      </c>
      <c r="HM2" s="2" t="s">
        <v>9</v>
      </c>
      <c r="HN2" s="2" t="s">
        <v>9</v>
      </c>
      <c r="HO2" s="2" t="s">
        <v>9</v>
      </c>
      <c r="HP2" s="2" t="s">
        <v>9</v>
      </c>
      <c r="HQ2" s="2" t="s">
        <v>9</v>
      </c>
      <c r="HR2" s="2" t="s">
        <v>9</v>
      </c>
      <c r="HS2" s="2" t="s">
        <v>9</v>
      </c>
      <c r="HT2" s="2" t="s">
        <v>9</v>
      </c>
      <c r="HU2" s="2" t="s">
        <v>9</v>
      </c>
      <c r="HV2" s="2" t="s">
        <v>9</v>
      </c>
      <c r="HW2" s="2" t="s">
        <v>9</v>
      </c>
      <c r="HX2" s="2" t="s">
        <v>9</v>
      </c>
      <c r="HY2" s="2" t="s">
        <v>9</v>
      </c>
      <c r="HZ2" s="2" t="s">
        <v>9</v>
      </c>
      <c r="IA2" s="2" t="s">
        <v>9</v>
      </c>
      <c r="IB2" s="2" t="s">
        <v>9</v>
      </c>
      <c r="IC2" s="2" t="s">
        <v>9</v>
      </c>
      <c r="ID2" s="2" t="s">
        <v>9</v>
      </c>
      <c r="IE2" s="2" t="s">
        <v>9</v>
      </c>
      <c r="IF2" s="2" t="s">
        <v>9</v>
      </c>
      <c r="IG2" s="2" t="s">
        <v>9</v>
      </c>
      <c r="IH2" s="2" t="s">
        <v>9</v>
      </c>
      <c r="II2" s="2" t="s">
        <v>9</v>
      </c>
      <c r="IJ2" s="2" t="s">
        <v>9</v>
      </c>
      <c r="IK2" s="2" t="s">
        <v>9</v>
      </c>
      <c r="IL2" s="2" t="s">
        <v>9</v>
      </c>
      <c r="IM2" s="2" t="s">
        <v>9</v>
      </c>
      <c r="IN2" s="2" t="s">
        <v>9</v>
      </c>
      <c r="IO2" s="2" t="s">
        <v>9</v>
      </c>
      <c r="IP2" s="2" t="s">
        <v>9</v>
      </c>
      <c r="IQ2" s="2" t="s">
        <v>9</v>
      </c>
      <c r="IR2" s="2" t="s">
        <v>9</v>
      </c>
      <c r="IS2" s="2" t="s">
        <v>9</v>
      </c>
      <c r="IT2" s="2" t="s">
        <v>9</v>
      </c>
      <c r="IU2" s="2" t="s">
        <v>9</v>
      </c>
      <c r="IV2" s="2" t="s">
        <v>9</v>
      </c>
      <c r="IW2" s="2" t="s">
        <v>9</v>
      </c>
      <c r="IX2" s="2" t="s">
        <v>9</v>
      </c>
      <c r="IY2" s="2" t="s">
        <v>9</v>
      </c>
      <c r="IZ2" s="2" t="s">
        <v>9</v>
      </c>
      <c r="JA2" s="2" t="s">
        <v>9</v>
      </c>
      <c r="JB2" s="2" t="s">
        <v>9</v>
      </c>
      <c r="JC2" s="2" t="s">
        <v>9</v>
      </c>
      <c r="JD2" s="2" t="s">
        <v>9</v>
      </c>
      <c r="JE2" s="2" t="s">
        <v>9</v>
      </c>
      <c r="JF2" s="2" t="s">
        <v>9</v>
      </c>
      <c r="JG2" s="2" t="s">
        <v>9</v>
      </c>
      <c r="JH2" s="2" t="s">
        <v>9</v>
      </c>
      <c r="JI2" s="2" t="s">
        <v>9</v>
      </c>
      <c r="JJ2" s="2" t="s">
        <v>9</v>
      </c>
      <c r="JK2" s="2" t="s">
        <v>9</v>
      </c>
      <c r="JL2" s="2" t="s">
        <v>9</v>
      </c>
      <c r="JM2" s="2" t="s">
        <v>9</v>
      </c>
      <c r="JN2" s="2" t="s">
        <v>9</v>
      </c>
      <c r="JO2" s="2" t="s">
        <v>9</v>
      </c>
      <c r="JP2" s="2" t="s">
        <v>9</v>
      </c>
      <c r="JQ2" s="2" t="s">
        <v>9</v>
      </c>
      <c r="JR2" s="2" t="s">
        <v>9</v>
      </c>
      <c r="JS2" s="2" t="s">
        <v>9</v>
      </c>
      <c r="JT2" s="2" t="s">
        <v>9</v>
      </c>
      <c r="JU2" s="2" t="s">
        <v>9</v>
      </c>
      <c r="JV2" s="2" t="s">
        <v>9</v>
      </c>
      <c r="JW2" s="2" t="s">
        <v>9</v>
      </c>
      <c r="JX2" s="2" t="s">
        <v>9</v>
      </c>
      <c r="JY2" s="2" t="s">
        <v>9</v>
      </c>
      <c r="JZ2" s="2" t="s">
        <v>9</v>
      </c>
      <c r="KA2" s="2" t="s">
        <v>9</v>
      </c>
      <c r="KB2" s="2" t="s">
        <v>9</v>
      </c>
      <c r="KC2" s="2" t="s">
        <v>9</v>
      </c>
      <c r="KD2" s="2" t="s">
        <v>9</v>
      </c>
      <c r="KE2" s="2" t="s">
        <v>9</v>
      </c>
      <c r="KF2" s="2" t="s">
        <v>9</v>
      </c>
      <c r="KG2" s="2" t="s">
        <v>9</v>
      </c>
      <c r="KH2" s="2" t="s">
        <v>9</v>
      </c>
      <c r="KI2" s="2" t="s">
        <v>9</v>
      </c>
      <c r="KJ2" s="2" t="s">
        <v>9</v>
      </c>
      <c r="KK2" s="2" t="s">
        <v>9</v>
      </c>
      <c r="KL2" s="2" t="s">
        <v>9</v>
      </c>
      <c r="KM2" s="2" t="s">
        <v>9</v>
      </c>
      <c r="KN2" s="2" t="s">
        <v>9</v>
      </c>
      <c r="KO2" s="2" t="s">
        <v>9</v>
      </c>
      <c r="KP2" s="2" t="s">
        <v>9</v>
      </c>
      <c r="KQ2" s="2" t="s">
        <v>9</v>
      </c>
      <c r="KR2" s="2" t="s">
        <v>9</v>
      </c>
      <c r="KS2" s="2" t="s">
        <v>9</v>
      </c>
      <c r="KT2" s="2" t="s">
        <v>9</v>
      </c>
      <c r="KU2" s="2" t="s">
        <v>9</v>
      </c>
      <c r="KV2" s="2" t="s">
        <v>9</v>
      </c>
      <c r="KW2" s="2" t="s">
        <v>9</v>
      </c>
      <c r="KX2" s="2" t="s">
        <v>9</v>
      </c>
      <c r="KY2" s="2" t="s">
        <v>9</v>
      </c>
      <c r="KZ2" s="2" t="s">
        <v>9</v>
      </c>
      <c r="LA2" s="2" t="s">
        <v>9</v>
      </c>
      <c r="LB2" s="2" t="s">
        <v>9</v>
      </c>
      <c r="LC2" s="2" t="s">
        <v>9</v>
      </c>
      <c r="LD2" s="2" t="s">
        <v>9</v>
      </c>
      <c r="LE2" s="2" t="s">
        <v>9</v>
      </c>
      <c r="LF2" s="2" t="s">
        <v>9</v>
      </c>
      <c r="LG2" s="2" t="s">
        <v>9</v>
      </c>
      <c r="LH2" s="2" t="s">
        <v>9</v>
      </c>
      <c r="LI2" s="2" t="s">
        <v>9</v>
      </c>
      <c r="LJ2" s="2" t="s">
        <v>9</v>
      </c>
      <c r="LK2" s="2" t="s">
        <v>9</v>
      </c>
      <c r="LL2" s="2" t="s">
        <v>9</v>
      </c>
      <c r="LM2" s="2" t="s">
        <v>9</v>
      </c>
      <c r="LN2" s="2" t="s">
        <v>9</v>
      </c>
      <c r="LO2" s="2" t="s">
        <v>9</v>
      </c>
      <c r="LP2" s="2" t="s">
        <v>9</v>
      </c>
      <c r="LQ2" s="2" t="s">
        <v>9</v>
      </c>
      <c r="LR2" s="2" t="s">
        <v>9</v>
      </c>
      <c r="LS2" s="2" t="s">
        <v>9</v>
      </c>
      <c r="LT2" s="2" t="s">
        <v>9</v>
      </c>
      <c r="LU2" s="2" t="s">
        <v>9</v>
      </c>
      <c r="LV2" s="2" t="s">
        <v>9</v>
      </c>
      <c r="LW2" s="2" t="s">
        <v>9</v>
      </c>
      <c r="LX2" s="2" t="s">
        <v>9</v>
      </c>
      <c r="LY2" s="2" t="s">
        <v>9</v>
      </c>
      <c r="LZ2" s="2" t="s">
        <v>9</v>
      </c>
      <c r="MA2" s="2" t="s">
        <v>9</v>
      </c>
      <c r="MB2" s="2" t="s">
        <v>9</v>
      </c>
      <c r="MC2" s="2" t="s">
        <v>9</v>
      </c>
      <c r="MD2" s="2" t="s">
        <v>9</v>
      </c>
      <c r="ME2" s="2" t="s">
        <v>9</v>
      </c>
      <c r="MF2" s="2" t="s">
        <v>9</v>
      </c>
      <c r="MG2" s="2" t="s">
        <v>9</v>
      </c>
      <c r="MH2" s="2" t="s">
        <v>9</v>
      </c>
      <c r="MI2" s="2" t="s">
        <v>9</v>
      </c>
      <c r="MJ2" s="2" t="s">
        <v>9</v>
      </c>
      <c r="MK2" s="2" t="s">
        <v>9</v>
      </c>
      <c r="ML2" s="2" t="s">
        <v>9</v>
      </c>
      <c r="MM2" s="2" t="s">
        <v>9</v>
      </c>
      <c r="MN2" s="2" t="s">
        <v>9</v>
      </c>
      <c r="MO2" s="2" t="s">
        <v>9</v>
      </c>
      <c r="MP2" s="2" t="s">
        <v>9</v>
      </c>
      <c r="MQ2" s="2" t="s">
        <v>9</v>
      </c>
      <c r="MR2" s="2" t="s">
        <v>9</v>
      </c>
      <c r="MS2" s="2" t="s">
        <v>9</v>
      </c>
      <c r="MT2" s="2" t="s">
        <v>9</v>
      </c>
      <c r="MU2" s="2" t="s">
        <v>9</v>
      </c>
      <c r="MV2" s="2" t="s">
        <v>9</v>
      </c>
      <c r="MW2" s="2" t="s">
        <v>9</v>
      </c>
      <c r="MX2" s="2" t="s">
        <v>9</v>
      </c>
      <c r="MY2" s="2" t="s">
        <v>9</v>
      </c>
      <c r="MZ2" s="2" t="s">
        <v>9</v>
      </c>
      <c r="NA2" s="2" t="s">
        <v>9</v>
      </c>
      <c r="NB2" s="2" t="s">
        <v>9</v>
      </c>
      <c r="NC2" s="2" t="s">
        <v>9</v>
      </c>
      <c r="ND2" s="2" t="s">
        <v>9</v>
      </c>
      <c r="NE2" s="2" t="s">
        <v>9</v>
      </c>
      <c r="NF2" s="2" t="s">
        <v>9</v>
      </c>
      <c r="NG2" s="2" t="s">
        <v>9</v>
      </c>
      <c r="NH2" s="2" t="s">
        <v>9</v>
      </c>
      <c r="NI2" s="2" t="s">
        <v>9</v>
      </c>
      <c r="NJ2" s="2" t="s">
        <v>9</v>
      </c>
      <c r="NK2" s="2" t="s">
        <v>9</v>
      </c>
      <c r="NL2" s="2" t="s">
        <v>9</v>
      </c>
      <c r="NM2" s="2" t="s">
        <v>9</v>
      </c>
      <c r="NN2" s="2" t="s">
        <v>9</v>
      </c>
      <c r="NO2" s="2" t="s">
        <v>9</v>
      </c>
      <c r="NP2" s="2" t="s">
        <v>9</v>
      </c>
      <c r="NQ2" s="2" t="s">
        <v>9</v>
      </c>
      <c r="NR2" s="2" t="s">
        <v>9</v>
      </c>
      <c r="NS2" s="2" t="s">
        <v>9</v>
      </c>
      <c r="NT2" s="2" t="s">
        <v>9</v>
      </c>
      <c r="NU2" s="2" t="s">
        <v>9</v>
      </c>
      <c r="NV2" s="2" t="s">
        <v>9</v>
      </c>
      <c r="NW2" s="2" t="s">
        <v>9</v>
      </c>
      <c r="NX2" s="2" t="s">
        <v>9</v>
      </c>
      <c r="NY2" s="2" t="s">
        <v>9</v>
      </c>
      <c r="NZ2" s="2" t="s">
        <v>9</v>
      </c>
      <c r="OA2" s="2" t="s">
        <v>9</v>
      </c>
      <c r="OB2" s="2" t="s">
        <v>9</v>
      </c>
      <c r="OC2" s="2" t="s">
        <v>9</v>
      </c>
      <c r="OD2" s="2" t="s">
        <v>9</v>
      </c>
      <c r="OE2" s="2" t="s">
        <v>9</v>
      </c>
      <c r="OF2" s="2" t="s">
        <v>9</v>
      </c>
      <c r="OG2" s="2" t="s">
        <v>9</v>
      </c>
      <c r="OH2" s="2" t="s">
        <v>9</v>
      </c>
      <c r="OI2" s="2" t="s">
        <v>9</v>
      </c>
      <c r="OJ2" s="2" t="s">
        <v>9</v>
      </c>
      <c r="OK2" s="2" t="s">
        <v>9</v>
      </c>
      <c r="OL2" s="2" t="s">
        <v>9</v>
      </c>
      <c r="OM2" s="2" t="s">
        <v>9</v>
      </c>
      <c r="ON2" s="2" t="s">
        <v>9</v>
      </c>
      <c r="OO2" s="2" t="s">
        <v>9</v>
      </c>
      <c r="OP2" s="2" t="s">
        <v>9</v>
      </c>
      <c r="OQ2" s="2" t="s">
        <v>9</v>
      </c>
      <c r="OR2" s="2" t="s">
        <v>9</v>
      </c>
      <c r="OS2" s="2" t="s">
        <v>9</v>
      </c>
      <c r="OT2" s="2" t="s">
        <v>9</v>
      </c>
      <c r="OU2" s="2" t="s">
        <v>9</v>
      </c>
      <c r="OV2" s="2" t="s">
        <v>9</v>
      </c>
      <c r="OW2" s="2" t="s">
        <v>9</v>
      </c>
      <c r="OX2" s="2" t="s">
        <v>9</v>
      </c>
      <c r="OY2" s="2" t="s">
        <v>9</v>
      </c>
      <c r="OZ2" s="2" t="s">
        <v>9</v>
      </c>
      <c r="PA2" s="2" t="s">
        <v>9</v>
      </c>
      <c r="PB2" s="2" t="s">
        <v>9</v>
      </c>
      <c r="PC2" s="2" t="s">
        <v>9</v>
      </c>
      <c r="PD2" s="2" t="s">
        <v>9</v>
      </c>
      <c r="PE2" s="2" t="s">
        <v>9</v>
      </c>
      <c r="PF2" s="2" t="s">
        <v>9</v>
      </c>
      <c r="PG2" s="2" t="s">
        <v>9</v>
      </c>
      <c r="PH2" s="2" t="s">
        <v>9</v>
      </c>
      <c r="PI2" s="2" t="s">
        <v>9</v>
      </c>
      <c r="PJ2" s="2" t="s">
        <v>9</v>
      </c>
      <c r="PK2" s="2" t="s">
        <v>9</v>
      </c>
      <c r="PL2" s="2" t="s">
        <v>9</v>
      </c>
      <c r="PM2" s="2" t="s">
        <v>9</v>
      </c>
      <c r="PN2" s="2" t="s">
        <v>9</v>
      </c>
      <c r="PO2" s="2" t="s">
        <v>9</v>
      </c>
      <c r="PP2" s="2" t="s">
        <v>9</v>
      </c>
      <c r="PQ2" s="2" t="s">
        <v>9</v>
      </c>
      <c r="PR2" s="2" t="s">
        <v>9</v>
      </c>
      <c r="PS2" s="2" t="s">
        <v>9</v>
      </c>
      <c r="PT2" s="2" t="s">
        <v>9</v>
      </c>
      <c r="PU2" s="2" t="s">
        <v>9</v>
      </c>
      <c r="PV2" s="2" t="s">
        <v>9</v>
      </c>
      <c r="PW2" s="2" t="s">
        <v>9</v>
      </c>
      <c r="PX2" s="2" t="s">
        <v>9</v>
      </c>
      <c r="PY2" s="2" t="s">
        <v>9</v>
      </c>
      <c r="PZ2" s="2" t="s">
        <v>9</v>
      </c>
      <c r="QA2" s="2" t="s">
        <v>9</v>
      </c>
      <c r="QB2" s="2" t="s">
        <v>9</v>
      </c>
      <c r="QC2" s="2" t="s">
        <v>9</v>
      </c>
      <c r="QD2" s="2" t="s">
        <v>9</v>
      </c>
      <c r="QE2" s="2" t="s">
        <v>9</v>
      </c>
      <c r="QF2" s="2" t="s">
        <v>9</v>
      </c>
      <c r="QG2" s="2" t="s">
        <v>9</v>
      </c>
      <c r="QH2" s="2" t="s">
        <v>9</v>
      </c>
      <c r="QI2" s="2" t="s">
        <v>9</v>
      </c>
      <c r="QJ2" s="2" t="s">
        <v>9</v>
      </c>
      <c r="QK2" s="2" t="s">
        <v>9</v>
      </c>
      <c r="QL2" s="2" t="s">
        <v>9</v>
      </c>
      <c r="QM2" s="2" t="s">
        <v>9</v>
      </c>
      <c r="QN2" s="2" t="s">
        <v>9</v>
      </c>
      <c r="QO2" s="2" t="s">
        <v>9</v>
      </c>
      <c r="QP2" s="2" t="s">
        <v>9</v>
      </c>
      <c r="QQ2" s="2" t="s">
        <v>9</v>
      </c>
      <c r="QR2" s="2" t="s">
        <v>9</v>
      </c>
      <c r="QS2" s="2" t="s">
        <v>9</v>
      </c>
      <c r="QT2" s="2" t="s">
        <v>9</v>
      </c>
      <c r="QU2" s="2" t="s">
        <v>9</v>
      </c>
      <c r="QV2" s="2" t="s">
        <v>9</v>
      </c>
      <c r="QW2" s="2" t="s">
        <v>9</v>
      </c>
      <c r="QX2" s="2" t="s">
        <v>9</v>
      </c>
      <c r="QY2" s="2" t="s">
        <v>9</v>
      </c>
      <c r="QZ2" s="2" t="s">
        <v>9</v>
      </c>
      <c r="RA2" s="2" t="s">
        <v>9</v>
      </c>
      <c r="RB2" s="2" t="s">
        <v>9</v>
      </c>
      <c r="RC2" s="2" t="s">
        <v>9</v>
      </c>
      <c r="RD2" s="2" t="s">
        <v>9</v>
      </c>
      <c r="RE2" s="2" t="s">
        <v>9</v>
      </c>
      <c r="RF2" s="2" t="s">
        <v>9</v>
      </c>
      <c r="RG2" s="2" t="s">
        <v>9</v>
      </c>
      <c r="RH2" s="2" t="s">
        <v>9</v>
      </c>
      <c r="RI2" s="2" t="s">
        <v>9</v>
      </c>
      <c r="RJ2" s="2" t="s">
        <v>9</v>
      </c>
      <c r="RK2" s="2" t="s">
        <v>9</v>
      </c>
      <c r="RL2" s="2" t="s">
        <v>9</v>
      </c>
      <c r="RM2" s="2" t="s">
        <v>9</v>
      </c>
      <c r="RN2" s="2" t="s">
        <v>9</v>
      </c>
      <c r="RO2" s="2" t="s">
        <v>9</v>
      </c>
      <c r="RP2" s="2" t="s">
        <v>9</v>
      </c>
      <c r="RQ2" s="2" t="s">
        <v>9</v>
      </c>
      <c r="RR2" s="2" t="s">
        <v>9</v>
      </c>
      <c r="RS2" s="2" t="s">
        <v>9</v>
      </c>
      <c r="RT2" s="2" t="s">
        <v>9</v>
      </c>
      <c r="RU2" s="2" t="s">
        <v>9</v>
      </c>
      <c r="RV2" s="2" t="s">
        <v>9</v>
      </c>
      <c r="RW2" s="2" t="s">
        <v>9</v>
      </c>
      <c r="RX2" s="2" t="s">
        <v>9</v>
      </c>
      <c r="RY2" s="2" t="s">
        <v>9</v>
      </c>
      <c r="RZ2" s="2" t="s">
        <v>9</v>
      </c>
      <c r="SA2" s="2" t="s">
        <v>9</v>
      </c>
      <c r="SB2" s="2" t="s">
        <v>9</v>
      </c>
      <c r="SC2" s="2" t="s">
        <v>9</v>
      </c>
      <c r="SD2" s="2" t="s">
        <v>9</v>
      </c>
      <c r="SE2" s="2" t="s">
        <v>9</v>
      </c>
      <c r="SF2" s="2" t="s">
        <v>9</v>
      </c>
      <c r="SG2" s="2" t="s">
        <v>9</v>
      </c>
      <c r="SH2" s="2" t="s">
        <v>9</v>
      </c>
      <c r="SI2" s="2" t="s">
        <v>9</v>
      </c>
      <c r="SJ2" s="2" t="s">
        <v>9</v>
      </c>
      <c r="SK2" s="2" t="s">
        <v>9</v>
      </c>
      <c r="SL2" s="2" t="s">
        <v>9</v>
      </c>
      <c r="SM2" s="2" t="s">
        <v>9</v>
      </c>
      <c r="SN2" s="2" t="s">
        <v>9</v>
      </c>
      <c r="SO2" s="2" t="s">
        <v>9</v>
      </c>
      <c r="SP2" s="2" t="s">
        <v>9</v>
      </c>
      <c r="SQ2" s="2" t="s">
        <v>9</v>
      </c>
      <c r="SR2" s="2" t="s">
        <v>9</v>
      </c>
      <c r="SS2" s="2" t="s">
        <v>9</v>
      </c>
      <c r="ST2" s="2" t="s">
        <v>9</v>
      </c>
      <c r="SU2" s="2" t="s">
        <v>9</v>
      </c>
      <c r="SV2" s="2" t="s">
        <v>9</v>
      </c>
      <c r="SW2" s="2" t="s">
        <v>9</v>
      </c>
      <c r="SX2" s="2" t="s">
        <v>9</v>
      </c>
      <c r="SY2" s="2" t="s">
        <v>9</v>
      </c>
      <c r="SZ2" s="2" t="s">
        <v>9</v>
      </c>
      <c r="TA2" s="2" t="s">
        <v>9</v>
      </c>
      <c r="TB2" s="2" t="s">
        <v>9</v>
      </c>
      <c r="TC2" s="2" t="s">
        <v>9</v>
      </c>
      <c r="TD2" s="2" t="s">
        <v>9</v>
      </c>
      <c r="TE2" s="2" t="s">
        <v>9</v>
      </c>
      <c r="TF2" s="2" t="s">
        <v>9</v>
      </c>
      <c r="TG2" s="2" t="s">
        <v>9</v>
      </c>
      <c r="TH2" s="2" t="s">
        <v>9</v>
      </c>
      <c r="TI2" s="2" t="s">
        <v>9</v>
      </c>
      <c r="TJ2" s="2" t="s">
        <v>9</v>
      </c>
      <c r="TK2" s="2" t="s">
        <v>9</v>
      </c>
      <c r="TL2" s="2" t="s">
        <v>9</v>
      </c>
      <c r="TM2" s="2" t="s">
        <v>9</v>
      </c>
      <c r="TN2" s="2" t="s">
        <v>9</v>
      </c>
      <c r="TO2" s="2" t="s">
        <v>9</v>
      </c>
      <c r="TP2" s="2" t="s">
        <v>9</v>
      </c>
      <c r="TQ2" s="2" t="s">
        <v>9</v>
      </c>
      <c r="TR2" s="2" t="s">
        <v>9</v>
      </c>
      <c r="TS2" s="2" t="s">
        <v>9</v>
      </c>
      <c r="TT2" s="2" t="s">
        <v>9</v>
      </c>
      <c r="TU2" s="2" t="s">
        <v>9</v>
      </c>
      <c r="TV2" s="2" t="s">
        <v>9</v>
      </c>
      <c r="TW2" s="2" t="s">
        <v>9</v>
      </c>
      <c r="TX2" s="2" t="s">
        <v>9</v>
      </c>
      <c r="TY2" s="2" t="s">
        <v>9</v>
      </c>
      <c r="TZ2" s="2" t="s">
        <v>9</v>
      </c>
      <c r="UA2" s="2" t="s">
        <v>9</v>
      </c>
      <c r="UB2" s="2" t="s">
        <v>9</v>
      </c>
      <c r="UC2" s="2" t="s">
        <v>9</v>
      </c>
      <c r="UD2" s="2" t="s">
        <v>9</v>
      </c>
      <c r="UE2" s="2" t="s">
        <v>9</v>
      </c>
      <c r="UF2" s="2" t="s">
        <v>9</v>
      </c>
      <c r="UG2" s="2" t="s">
        <v>9</v>
      </c>
      <c r="UH2" s="2" t="s">
        <v>9</v>
      </c>
      <c r="UI2" s="2" t="s">
        <v>9</v>
      </c>
      <c r="UJ2" s="2" t="s">
        <v>9</v>
      </c>
      <c r="UK2" s="2" t="s">
        <v>9</v>
      </c>
      <c r="UL2" s="2" t="s">
        <v>9</v>
      </c>
      <c r="UM2" s="2" t="s">
        <v>9</v>
      </c>
      <c r="UN2" s="2" t="s">
        <v>9</v>
      </c>
      <c r="UO2" s="2" t="s">
        <v>9</v>
      </c>
      <c r="UP2" s="2" t="s">
        <v>9</v>
      </c>
      <c r="UQ2" s="2" t="s">
        <v>9</v>
      </c>
      <c r="UR2" s="2" t="s">
        <v>9</v>
      </c>
      <c r="US2" s="2" t="s">
        <v>9</v>
      </c>
      <c r="UT2" s="2" t="s">
        <v>9</v>
      </c>
      <c r="UU2" s="2" t="s">
        <v>9</v>
      </c>
      <c r="UV2" s="2" t="s">
        <v>9</v>
      </c>
      <c r="UW2" s="2" t="s">
        <v>9</v>
      </c>
      <c r="UX2" s="2" t="s">
        <v>9</v>
      </c>
      <c r="UY2" s="2" t="s">
        <v>9</v>
      </c>
      <c r="UZ2" s="2" t="s">
        <v>9</v>
      </c>
      <c r="VA2" s="2" t="s">
        <v>9</v>
      </c>
      <c r="VB2" s="2" t="s">
        <v>9</v>
      </c>
      <c r="VC2" s="2" t="s">
        <v>9</v>
      </c>
      <c r="VD2" s="2" t="s">
        <v>9</v>
      </c>
      <c r="VE2" s="2" t="s">
        <v>9</v>
      </c>
      <c r="VF2" s="2" t="s">
        <v>9</v>
      </c>
      <c r="VG2" s="2" t="s">
        <v>9</v>
      </c>
      <c r="VH2" s="2" t="s">
        <v>9</v>
      </c>
      <c r="VI2" s="2" t="s">
        <v>9</v>
      </c>
      <c r="VJ2" s="2" t="s">
        <v>9</v>
      </c>
      <c r="VK2" s="2" t="s">
        <v>9</v>
      </c>
      <c r="VL2" s="2" t="s">
        <v>9</v>
      </c>
      <c r="VM2" s="2" t="s">
        <v>9</v>
      </c>
      <c r="VN2" s="2" t="s">
        <v>9</v>
      </c>
      <c r="VO2" s="2" t="s">
        <v>9</v>
      </c>
      <c r="VP2" s="2" t="s">
        <v>9</v>
      </c>
      <c r="VQ2" s="2" t="s">
        <v>9</v>
      </c>
      <c r="VR2" s="2" t="s">
        <v>9</v>
      </c>
      <c r="VS2" s="2" t="s">
        <v>9</v>
      </c>
      <c r="VT2" s="2" t="s">
        <v>9</v>
      </c>
      <c r="VU2" s="2" t="s">
        <v>9</v>
      </c>
      <c r="VV2" s="2" t="s">
        <v>9</v>
      </c>
      <c r="VW2" s="2" t="s">
        <v>9</v>
      </c>
      <c r="VX2" s="2" t="s">
        <v>9</v>
      </c>
      <c r="VY2" s="2" t="s">
        <v>9</v>
      </c>
      <c r="VZ2" s="2" t="s">
        <v>9</v>
      </c>
      <c r="WA2" s="2" t="s">
        <v>9</v>
      </c>
      <c r="WB2" s="2" t="s">
        <v>9</v>
      </c>
      <c r="WC2" s="2" t="s">
        <v>9</v>
      </c>
      <c r="WD2" s="2" t="s">
        <v>9</v>
      </c>
      <c r="WE2" s="2" t="s">
        <v>9</v>
      </c>
      <c r="WF2" s="2" t="s">
        <v>9</v>
      </c>
      <c r="WG2" s="2" t="s">
        <v>9</v>
      </c>
      <c r="WH2" s="2" t="s">
        <v>9</v>
      </c>
      <c r="WI2" s="2" t="s">
        <v>9</v>
      </c>
      <c r="WJ2" s="2" t="s">
        <v>9</v>
      </c>
      <c r="WK2" s="2" t="s">
        <v>9</v>
      </c>
      <c r="WL2" s="2" t="s">
        <v>9</v>
      </c>
      <c r="WM2" s="2" t="s">
        <v>9</v>
      </c>
      <c r="WN2" s="2" t="s">
        <v>9</v>
      </c>
      <c r="WO2" s="2" t="s">
        <v>9</v>
      </c>
      <c r="WP2" s="2" t="s">
        <v>9</v>
      </c>
      <c r="WQ2" s="2" t="s">
        <v>9</v>
      </c>
      <c r="WR2" s="2" t="s">
        <v>9</v>
      </c>
      <c r="WS2" s="2" t="s">
        <v>9</v>
      </c>
      <c r="WT2" s="2" t="s">
        <v>9</v>
      </c>
      <c r="WU2" s="2" t="s">
        <v>9</v>
      </c>
      <c r="WV2" s="2" t="s">
        <v>9</v>
      </c>
      <c r="WW2" s="2" t="s">
        <v>9</v>
      </c>
      <c r="WX2" s="2" t="s">
        <v>9</v>
      </c>
      <c r="WY2" s="2" t="s">
        <v>9</v>
      </c>
      <c r="WZ2" s="2" t="s">
        <v>9</v>
      </c>
      <c r="XA2" s="2" t="s">
        <v>9</v>
      </c>
      <c r="XB2" s="2" t="s">
        <v>9</v>
      </c>
      <c r="XC2" s="2" t="s">
        <v>9</v>
      </c>
      <c r="XD2" s="2" t="s">
        <v>9</v>
      </c>
      <c r="XE2" s="2" t="s">
        <v>9</v>
      </c>
      <c r="XF2" s="2" t="s">
        <v>9</v>
      </c>
      <c r="XG2" s="2" t="s">
        <v>9</v>
      </c>
      <c r="XH2" s="2" t="s">
        <v>9</v>
      </c>
      <c r="XI2" s="2" t="s">
        <v>9</v>
      </c>
      <c r="XJ2" s="2" t="s">
        <v>9</v>
      </c>
      <c r="XK2" s="2" t="s">
        <v>9</v>
      </c>
      <c r="XL2" s="2" t="s">
        <v>9</v>
      </c>
      <c r="XM2" s="2" t="s">
        <v>9</v>
      </c>
      <c r="XN2" s="2" t="s">
        <v>9</v>
      </c>
      <c r="XO2" s="2" t="s">
        <v>9</v>
      </c>
      <c r="XP2" s="2" t="s">
        <v>9</v>
      </c>
      <c r="XQ2" s="2" t="s">
        <v>9</v>
      </c>
      <c r="XR2" s="2" t="s">
        <v>9</v>
      </c>
      <c r="XS2" s="2" t="s">
        <v>9</v>
      </c>
      <c r="XT2" s="2" t="s">
        <v>9</v>
      </c>
      <c r="XU2" s="2" t="s">
        <v>9</v>
      </c>
      <c r="XV2" s="2" t="s">
        <v>9</v>
      </c>
      <c r="XW2" s="2" t="s">
        <v>9</v>
      </c>
      <c r="XX2" s="2" t="s">
        <v>9</v>
      </c>
      <c r="XY2" s="2" t="s">
        <v>9</v>
      </c>
      <c r="XZ2" s="2" t="s">
        <v>9</v>
      </c>
      <c r="YA2" s="2" t="s">
        <v>9</v>
      </c>
      <c r="YB2" s="2" t="s">
        <v>9</v>
      </c>
      <c r="YC2" s="2" t="s">
        <v>9</v>
      </c>
      <c r="YD2" s="2" t="s">
        <v>9</v>
      </c>
      <c r="YE2" s="2" t="s">
        <v>9</v>
      </c>
      <c r="YF2" s="2" t="s">
        <v>9</v>
      </c>
      <c r="YG2" s="2" t="s">
        <v>9</v>
      </c>
      <c r="YH2" s="2" t="s">
        <v>9</v>
      </c>
      <c r="YI2" s="2" t="s">
        <v>9</v>
      </c>
      <c r="YJ2" s="2" t="s">
        <v>9</v>
      </c>
      <c r="YK2" s="2" t="s">
        <v>9</v>
      </c>
      <c r="YL2" s="2" t="s">
        <v>9</v>
      </c>
      <c r="YM2" s="2" t="s">
        <v>9</v>
      </c>
      <c r="YN2" s="2" t="s">
        <v>9</v>
      </c>
      <c r="YO2" s="2" t="s">
        <v>9</v>
      </c>
      <c r="YP2" s="2" t="s">
        <v>9</v>
      </c>
      <c r="YQ2" s="2" t="s">
        <v>9</v>
      </c>
      <c r="YR2" s="2" t="s">
        <v>9</v>
      </c>
      <c r="YS2" s="2" t="s">
        <v>9</v>
      </c>
      <c r="YT2" s="2" t="s">
        <v>9</v>
      </c>
      <c r="YU2" s="2" t="s">
        <v>9</v>
      </c>
      <c r="YV2" s="2" t="s">
        <v>9</v>
      </c>
      <c r="YW2" s="2" t="s">
        <v>9</v>
      </c>
      <c r="YX2" s="2" t="s">
        <v>9</v>
      </c>
      <c r="YY2" s="2" t="s">
        <v>9</v>
      </c>
      <c r="YZ2" s="2" t="s">
        <v>9</v>
      </c>
      <c r="ZA2" s="2" t="s">
        <v>9</v>
      </c>
      <c r="ZB2" s="2" t="s">
        <v>9</v>
      </c>
      <c r="ZC2" s="2" t="s">
        <v>9</v>
      </c>
      <c r="ZD2" s="2" t="s">
        <v>9</v>
      </c>
      <c r="ZE2" s="2" t="s">
        <v>9</v>
      </c>
      <c r="ZF2" s="2" t="s">
        <v>9</v>
      </c>
      <c r="ZG2" s="2" t="s">
        <v>9</v>
      </c>
      <c r="ZH2" s="2" t="s">
        <v>9</v>
      </c>
      <c r="ZI2" s="2" t="s">
        <v>9</v>
      </c>
      <c r="ZJ2" s="2" t="s">
        <v>9</v>
      </c>
      <c r="ZK2" s="2" t="s">
        <v>9</v>
      </c>
      <c r="ZL2" s="2" t="s">
        <v>9</v>
      </c>
      <c r="ZM2" s="2" t="s">
        <v>9</v>
      </c>
      <c r="ZN2" s="2" t="s">
        <v>9</v>
      </c>
      <c r="ZO2" s="2" t="s">
        <v>9</v>
      </c>
      <c r="ZP2" s="2" t="s">
        <v>9</v>
      </c>
      <c r="ZQ2" s="2" t="s">
        <v>9</v>
      </c>
      <c r="ZR2" s="2" t="s">
        <v>9</v>
      </c>
      <c r="ZS2" s="2" t="s">
        <v>9</v>
      </c>
      <c r="ZT2" s="2" t="s">
        <v>9</v>
      </c>
      <c r="ZU2" s="2" t="s">
        <v>9</v>
      </c>
      <c r="ZV2" s="2" t="s">
        <v>9</v>
      </c>
      <c r="ZW2" s="2" t="s">
        <v>9</v>
      </c>
      <c r="ZX2" s="2" t="s">
        <v>9</v>
      </c>
      <c r="ZY2" s="2" t="s">
        <v>9</v>
      </c>
      <c r="ZZ2" s="2" t="s">
        <v>9</v>
      </c>
      <c r="AAA2" s="2" t="s">
        <v>9</v>
      </c>
      <c r="AAB2" s="2" t="s">
        <v>9</v>
      </c>
      <c r="AAC2" s="2" t="s">
        <v>9</v>
      </c>
      <c r="AAD2" s="2" t="s">
        <v>9</v>
      </c>
      <c r="AAE2" s="2" t="s">
        <v>9</v>
      </c>
      <c r="AAF2" s="2" t="s">
        <v>9</v>
      </c>
      <c r="AAG2" s="2" t="s">
        <v>9</v>
      </c>
      <c r="AAH2" s="2" t="s">
        <v>9</v>
      </c>
      <c r="AAI2" s="2" t="s">
        <v>9</v>
      </c>
      <c r="AAJ2" s="2" t="s">
        <v>9</v>
      </c>
      <c r="AAK2" s="2" t="s">
        <v>9</v>
      </c>
      <c r="AAL2" s="2" t="s">
        <v>9</v>
      </c>
      <c r="AAM2" s="2" t="s">
        <v>9</v>
      </c>
      <c r="AAN2" s="2" t="s">
        <v>9</v>
      </c>
      <c r="AAO2" s="2" t="s">
        <v>9</v>
      </c>
      <c r="AAP2" s="2" t="s">
        <v>9</v>
      </c>
      <c r="AAQ2" s="2" t="s">
        <v>9</v>
      </c>
      <c r="AAR2" s="2" t="s">
        <v>9</v>
      </c>
      <c r="AAS2" s="2" t="s">
        <v>9</v>
      </c>
      <c r="AAT2" s="2" t="s">
        <v>9</v>
      </c>
      <c r="AAU2" s="2" t="s">
        <v>9</v>
      </c>
      <c r="AAV2" s="2" t="s">
        <v>9</v>
      </c>
      <c r="AAW2" s="2" t="s">
        <v>9</v>
      </c>
      <c r="AAX2" s="2" t="s">
        <v>9</v>
      </c>
      <c r="AAY2" s="2" t="s">
        <v>9</v>
      </c>
      <c r="AAZ2" s="2" t="s">
        <v>9</v>
      </c>
      <c r="ABA2" s="2" t="s">
        <v>9</v>
      </c>
      <c r="ABB2" s="2" t="s">
        <v>9</v>
      </c>
      <c r="ABC2" s="2" t="s">
        <v>9</v>
      </c>
      <c r="ABD2" s="2" t="s">
        <v>9</v>
      </c>
      <c r="ABE2" s="2" t="s">
        <v>9</v>
      </c>
      <c r="ABF2" s="2" t="s">
        <v>9</v>
      </c>
      <c r="ABG2" s="2" t="s">
        <v>9</v>
      </c>
      <c r="ABH2" s="2" t="s">
        <v>9</v>
      </c>
      <c r="ABI2" s="2" t="s">
        <v>9</v>
      </c>
      <c r="ABJ2" s="2" t="s">
        <v>9</v>
      </c>
      <c r="ABK2" s="2" t="s">
        <v>9</v>
      </c>
      <c r="ABL2" s="2" t="s">
        <v>9</v>
      </c>
      <c r="ABM2" s="2" t="s">
        <v>9</v>
      </c>
      <c r="ABN2" s="2" t="s">
        <v>9</v>
      </c>
      <c r="ABO2" s="2" t="s">
        <v>9</v>
      </c>
      <c r="ABP2" s="2" t="s">
        <v>9</v>
      </c>
      <c r="ABQ2" s="2" t="s">
        <v>9</v>
      </c>
      <c r="ABR2" s="2" t="s">
        <v>9</v>
      </c>
      <c r="ABS2" s="2" t="s">
        <v>9</v>
      </c>
      <c r="ABT2" s="2" t="s">
        <v>9</v>
      </c>
      <c r="ABU2" s="2" t="s">
        <v>9</v>
      </c>
      <c r="ABV2" s="2" t="s">
        <v>9</v>
      </c>
      <c r="ABW2" s="2" t="s">
        <v>9</v>
      </c>
      <c r="ABX2" s="2" t="s">
        <v>9</v>
      </c>
      <c r="ABY2" s="2" t="s">
        <v>9</v>
      </c>
      <c r="ABZ2" s="2" t="s">
        <v>9</v>
      </c>
      <c r="ACA2" s="2" t="s">
        <v>9</v>
      </c>
      <c r="ACB2" s="2" t="s">
        <v>9</v>
      </c>
      <c r="ACC2" s="2" t="s">
        <v>9</v>
      </c>
      <c r="ACD2" s="2" t="s">
        <v>9</v>
      </c>
      <c r="ACE2" s="2" t="s">
        <v>9</v>
      </c>
      <c r="ACF2" s="2" t="s">
        <v>9</v>
      </c>
      <c r="ACG2" s="2" t="s">
        <v>9</v>
      </c>
      <c r="ACH2" s="2" t="s">
        <v>9</v>
      </c>
      <c r="ACI2" s="2" t="s">
        <v>9</v>
      </c>
      <c r="ACJ2" s="2" t="s">
        <v>9</v>
      </c>
      <c r="ACK2" s="2" t="s">
        <v>9</v>
      </c>
      <c r="ACL2" s="2" t="s">
        <v>9</v>
      </c>
      <c r="ACM2" s="2" t="s">
        <v>9</v>
      </c>
      <c r="ACN2" s="2" t="s">
        <v>9</v>
      </c>
      <c r="ACO2" s="2" t="s">
        <v>9</v>
      </c>
      <c r="ACP2" s="2" t="s">
        <v>9</v>
      </c>
      <c r="ACQ2" s="2" t="s">
        <v>9</v>
      </c>
      <c r="ACR2" s="2" t="s">
        <v>9</v>
      </c>
      <c r="ACS2" s="2" t="s">
        <v>9</v>
      </c>
      <c r="ACT2" s="2" t="s">
        <v>9</v>
      </c>
      <c r="ACU2" s="2" t="s">
        <v>9</v>
      </c>
      <c r="ACV2" s="2" t="s">
        <v>9</v>
      </c>
      <c r="ACW2" s="2" t="s">
        <v>9</v>
      </c>
      <c r="ACX2" s="2" t="s">
        <v>9</v>
      </c>
      <c r="ACY2" s="2" t="s">
        <v>9</v>
      </c>
      <c r="ACZ2" s="2" t="s">
        <v>9</v>
      </c>
      <c r="ADA2" s="2" t="s">
        <v>9</v>
      </c>
      <c r="ADB2" s="2" t="s">
        <v>9</v>
      </c>
      <c r="ADC2" s="2" t="s">
        <v>9</v>
      </c>
      <c r="ADD2" s="2" t="s">
        <v>9</v>
      </c>
      <c r="ADE2" s="2" t="s">
        <v>9</v>
      </c>
      <c r="ADF2" s="2" t="s">
        <v>9</v>
      </c>
      <c r="ADG2" s="2" t="s">
        <v>9</v>
      </c>
      <c r="ADH2" s="2" t="s">
        <v>9</v>
      </c>
      <c r="ADI2" s="2" t="s">
        <v>9</v>
      </c>
      <c r="ADJ2" s="2" t="s">
        <v>9</v>
      </c>
      <c r="ADK2" s="2" t="s">
        <v>9</v>
      </c>
      <c r="ADL2" s="2" t="s">
        <v>9</v>
      </c>
      <c r="ADM2" s="2" t="s">
        <v>9</v>
      </c>
      <c r="ADN2" s="2" t="s">
        <v>9</v>
      </c>
      <c r="ADO2" s="2" t="s">
        <v>9</v>
      </c>
      <c r="ADP2" s="2" t="s">
        <v>9</v>
      </c>
      <c r="ADQ2" s="2" t="s">
        <v>9</v>
      </c>
      <c r="ADR2" s="2" t="s">
        <v>9</v>
      </c>
      <c r="ADS2" s="2" t="s">
        <v>9</v>
      </c>
      <c r="ADT2" s="2" t="s">
        <v>9</v>
      </c>
      <c r="ADU2" s="2" t="s">
        <v>9</v>
      </c>
      <c r="ADV2" s="2" t="s">
        <v>9</v>
      </c>
      <c r="ADW2" s="2" t="s">
        <v>9</v>
      </c>
      <c r="ADX2" s="2" t="s">
        <v>9</v>
      </c>
      <c r="ADY2" s="2" t="s">
        <v>9</v>
      </c>
      <c r="ADZ2" s="2" t="s">
        <v>9</v>
      </c>
      <c r="AEA2" s="2" t="s">
        <v>9</v>
      </c>
      <c r="AEB2" s="2" t="s">
        <v>9</v>
      </c>
      <c r="AEC2" s="2" t="s">
        <v>9</v>
      </c>
      <c r="AED2" s="2" t="s">
        <v>9</v>
      </c>
      <c r="AEE2" s="2" t="s">
        <v>9</v>
      </c>
      <c r="AEF2" s="2" t="s">
        <v>9</v>
      </c>
      <c r="AEG2" s="2" t="s">
        <v>9</v>
      </c>
      <c r="AEH2" s="2" t="s">
        <v>9</v>
      </c>
      <c r="AEI2" s="2" t="s">
        <v>9</v>
      </c>
      <c r="AEJ2" s="2" t="s">
        <v>9</v>
      </c>
      <c r="AEK2" s="2" t="s">
        <v>9</v>
      </c>
    </row>
    <row r="3" spans="1:817" x14ac:dyDescent="0.25">
      <c r="A3" s="1" t="s">
        <v>10</v>
      </c>
      <c r="B3" s="3" t="s">
        <v>11</v>
      </c>
      <c r="C3" s="3" t="s">
        <v>12</v>
      </c>
      <c r="D3" s="3" t="s">
        <v>13</v>
      </c>
      <c r="E3" s="3" t="s">
        <v>14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19</v>
      </c>
      <c r="K3" s="3" t="s">
        <v>20</v>
      </c>
      <c r="L3" s="3" t="s">
        <v>21</v>
      </c>
      <c r="M3" s="3" t="s">
        <v>22</v>
      </c>
      <c r="N3" s="3" t="s">
        <v>23</v>
      </c>
      <c r="O3" s="3" t="s">
        <v>24</v>
      </c>
      <c r="P3" s="3" t="s">
        <v>25</v>
      </c>
      <c r="Q3" s="3" t="s">
        <v>26</v>
      </c>
      <c r="R3" s="3" t="s">
        <v>27</v>
      </c>
      <c r="S3" s="3" t="s">
        <v>28</v>
      </c>
      <c r="T3" s="3" t="s">
        <v>29</v>
      </c>
      <c r="U3" s="3" t="s">
        <v>30</v>
      </c>
      <c r="V3" s="3" t="s">
        <v>31</v>
      </c>
      <c r="W3" s="3" t="s">
        <v>32</v>
      </c>
      <c r="X3" s="3" t="s">
        <v>33</v>
      </c>
      <c r="Y3" s="3" t="s">
        <v>34</v>
      </c>
      <c r="Z3" s="3" t="s">
        <v>11</v>
      </c>
      <c r="AA3" s="3" t="s">
        <v>12</v>
      </c>
      <c r="AB3" s="3" t="s">
        <v>13</v>
      </c>
      <c r="AC3" s="3" t="s">
        <v>14</v>
      </c>
      <c r="AD3" s="3" t="s">
        <v>15</v>
      </c>
      <c r="AE3" s="3" t="s">
        <v>16</v>
      </c>
      <c r="AF3" s="3" t="s">
        <v>17</v>
      </c>
      <c r="AG3" s="3" t="s">
        <v>18</v>
      </c>
      <c r="AH3" s="3" t="s">
        <v>19</v>
      </c>
      <c r="AI3" s="3" t="s">
        <v>20</v>
      </c>
      <c r="AJ3" s="3" t="s">
        <v>21</v>
      </c>
      <c r="AK3" s="3" t="s">
        <v>22</v>
      </c>
      <c r="AL3" s="3" t="s">
        <v>23</v>
      </c>
      <c r="AM3" s="3" t="s">
        <v>24</v>
      </c>
      <c r="AN3" s="3" t="s">
        <v>25</v>
      </c>
      <c r="AO3" s="3" t="s">
        <v>26</v>
      </c>
      <c r="AP3" s="3" t="s">
        <v>27</v>
      </c>
      <c r="AQ3" s="3" t="s">
        <v>28</v>
      </c>
      <c r="AR3" s="3" t="s">
        <v>29</v>
      </c>
      <c r="AS3" s="3" t="s">
        <v>30</v>
      </c>
      <c r="AT3" s="3" t="s">
        <v>31</v>
      </c>
      <c r="AU3" s="3" t="s">
        <v>32</v>
      </c>
      <c r="AV3" s="3" t="s">
        <v>33</v>
      </c>
      <c r="AW3" s="3" t="s">
        <v>34</v>
      </c>
      <c r="AX3" s="3" t="s">
        <v>11</v>
      </c>
      <c r="AY3" s="3" t="s">
        <v>12</v>
      </c>
      <c r="AZ3" s="3" t="s">
        <v>13</v>
      </c>
      <c r="BA3" s="3" t="s">
        <v>14</v>
      </c>
      <c r="BB3" s="3" t="s">
        <v>15</v>
      </c>
      <c r="BC3" s="3" t="s">
        <v>16</v>
      </c>
      <c r="BD3" s="3" t="s">
        <v>17</v>
      </c>
      <c r="BE3" s="3" t="s">
        <v>18</v>
      </c>
      <c r="BF3" s="3" t="s">
        <v>19</v>
      </c>
      <c r="BG3" s="3" t="s">
        <v>20</v>
      </c>
      <c r="BH3" s="3" t="s">
        <v>21</v>
      </c>
      <c r="BI3" s="3" t="s">
        <v>22</v>
      </c>
      <c r="BJ3" s="3" t="s">
        <v>23</v>
      </c>
      <c r="BK3" s="3" t="s">
        <v>24</v>
      </c>
      <c r="BL3" s="3" t="s">
        <v>25</v>
      </c>
      <c r="BM3" s="3" t="s">
        <v>26</v>
      </c>
      <c r="BN3" s="3" t="s">
        <v>27</v>
      </c>
      <c r="BO3" s="3" t="s">
        <v>28</v>
      </c>
      <c r="BP3" s="3" t="s">
        <v>29</v>
      </c>
      <c r="BQ3" s="3" t="s">
        <v>30</v>
      </c>
      <c r="BR3" s="3" t="s">
        <v>31</v>
      </c>
      <c r="BS3" s="3" t="s">
        <v>32</v>
      </c>
      <c r="BT3" s="3" t="s">
        <v>33</v>
      </c>
      <c r="BU3" s="3" t="s">
        <v>34</v>
      </c>
      <c r="BV3" s="3" t="s">
        <v>11</v>
      </c>
      <c r="BW3" s="3" t="s">
        <v>12</v>
      </c>
      <c r="BX3" s="3" t="s">
        <v>13</v>
      </c>
      <c r="BY3" s="3" t="s">
        <v>14</v>
      </c>
      <c r="BZ3" s="3" t="s">
        <v>15</v>
      </c>
      <c r="CA3" s="3" t="s">
        <v>16</v>
      </c>
      <c r="CB3" s="3" t="s">
        <v>17</v>
      </c>
      <c r="CC3" s="3" t="s">
        <v>18</v>
      </c>
      <c r="CD3" s="3" t="s">
        <v>19</v>
      </c>
      <c r="CE3" s="3" t="s">
        <v>20</v>
      </c>
      <c r="CF3" s="3" t="s">
        <v>21</v>
      </c>
      <c r="CG3" s="3" t="s">
        <v>22</v>
      </c>
      <c r="CH3" s="3" t="s">
        <v>23</v>
      </c>
      <c r="CI3" s="3" t="s">
        <v>24</v>
      </c>
      <c r="CJ3" s="3" t="s">
        <v>25</v>
      </c>
      <c r="CK3" s="3" t="s">
        <v>26</v>
      </c>
      <c r="CL3" s="3" t="s">
        <v>27</v>
      </c>
      <c r="CM3" s="3" t="s">
        <v>28</v>
      </c>
      <c r="CN3" s="3" t="s">
        <v>29</v>
      </c>
      <c r="CO3" s="3" t="s">
        <v>30</v>
      </c>
      <c r="CP3" s="3" t="s">
        <v>31</v>
      </c>
      <c r="CQ3" s="3" t="s">
        <v>32</v>
      </c>
      <c r="CR3" s="3" t="s">
        <v>33</v>
      </c>
      <c r="CS3" s="3" t="s">
        <v>34</v>
      </c>
      <c r="CT3" s="3" t="s">
        <v>11</v>
      </c>
      <c r="CU3" s="3" t="s">
        <v>12</v>
      </c>
      <c r="CV3" s="3" t="s">
        <v>13</v>
      </c>
      <c r="CW3" s="3" t="s">
        <v>14</v>
      </c>
      <c r="CX3" s="3" t="s">
        <v>15</v>
      </c>
      <c r="CY3" s="3" t="s">
        <v>16</v>
      </c>
      <c r="CZ3" s="3" t="s">
        <v>17</v>
      </c>
      <c r="DA3" s="3" t="s">
        <v>18</v>
      </c>
      <c r="DB3" s="3" t="s">
        <v>19</v>
      </c>
      <c r="DC3" s="3" t="s">
        <v>20</v>
      </c>
      <c r="DD3" s="3" t="s">
        <v>21</v>
      </c>
      <c r="DE3" s="3" t="s">
        <v>22</v>
      </c>
      <c r="DF3" s="3" t="s">
        <v>23</v>
      </c>
      <c r="DG3" s="3" t="s">
        <v>24</v>
      </c>
      <c r="DH3" s="3" t="s">
        <v>25</v>
      </c>
      <c r="DI3" s="3" t="s">
        <v>26</v>
      </c>
      <c r="DJ3" s="3" t="s">
        <v>27</v>
      </c>
      <c r="DK3" s="3" t="s">
        <v>28</v>
      </c>
      <c r="DL3" s="3" t="s">
        <v>29</v>
      </c>
      <c r="DM3" s="3" t="s">
        <v>30</v>
      </c>
      <c r="DN3" s="3" t="s">
        <v>31</v>
      </c>
      <c r="DO3" s="3" t="s">
        <v>32</v>
      </c>
      <c r="DP3" s="3" t="s">
        <v>33</v>
      </c>
      <c r="DQ3" s="3" t="s">
        <v>34</v>
      </c>
      <c r="DR3" s="3" t="s">
        <v>11</v>
      </c>
      <c r="DS3" s="3" t="s">
        <v>12</v>
      </c>
      <c r="DT3" s="3" t="s">
        <v>13</v>
      </c>
      <c r="DU3" s="3" t="s">
        <v>14</v>
      </c>
      <c r="DV3" s="3" t="s">
        <v>15</v>
      </c>
      <c r="DW3" s="3" t="s">
        <v>16</v>
      </c>
      <c r="DX3" s="3" t="s">
        <v>17</v>
      </c>
      <c r="DY3" s="3" t="s">
        <v>18</v>
      </c>
      <c r="DZ3" s="3" t="s">
        <v>19</v>
      </c>
      <c r="EA3" s="3" t="s">
        <v>20</v>
      </c>
      <c r="EB3" s="3" t="s">
        <v>21</v>
      </c>
      <c r="EC3" s="3" t="s">
        <v>22</v>
      </c>
      <c r="ED3" s="3" t="s">
        <v>23</v>
      </c>
      <c r="EE3" s="3" t="s">
        <v>24</v>
      </c>
      <c r="EF3" s="3" t="s">
        <v>25</v>
      </c>
      <c r="EG3" s="3" t="s">
        <v>26</v>
      </c>
      <c r="EH3" s="3" t="s">
        <v>27</v>
      </c>
      <c r="EI3" s="3" t="s">
        <v>28</v>
      </c>
      <c r="EJ3" s="3" t="s">
        <v>29</v>
      </c>
      <c r="EK3" s="3" t="s">
        <v>30</v>
      </c>
      <c r="EL3" s="3" t="s">
        <v>31</v>
      </c>
      <c r="EM3" s="3" t="s">
        <v>32</v>
      </c>
      <c r="EN3" s="3" t="s">
        <v>33</v>
      </c>
      <c r="EO3" s="3" t="s">
        <v>34</v>
      </c>
      <c r="EP3" s="3" t="s">
        <v>11</v>
      </c>
      <c r="EQ3" s="3" t="s">
        <v>12</v>
      </c>
      <c r="ER3" s="3" t="s">
        <v>13</v>
      </c>
      <c r="ES3" s="3" t="s">
        <v>14</v>
      </c>
      <c r="ET3" s="3" t="s">
        <v>15</v>
      </c>
      <c r="EU3" s="3" t="s">
        <v>16</v>
      </c>
      <c r="EV3" s="3" t="s">
        <v>17</v>
      </c>
      <c r="EW3" s="3" t="s">
        <v>18</v>
      </c>
      <c r="EX3" s="3" t="s">
        <v>19</v>
      </c>
      <c r="EY3" s="3" t="s">
        <v>20</v>
      </c>
      <c r="EZ3" s="3" t="s">
        <v>21</v>
      </c>
      <c r="FA3" s="3" t="s">
        <v>22</v>
      </c>
      <c r="FB3" s="3" t="s">
        <v>23</v>
      </c>
      <c r="FC3" s="3" t="s">
        <v>24</v>
      </c>
      <c r="FD3" s="3" t="s">
        <v>25</v>
      </c>
      <c r="FE3" s="3" t="s">
        <v>26</v>
      </c>
      <c r="FF3" s="3" t="s">
        <v>27</v>
      </c>
      <c r="FG3" s="3" t="s">
        <v>28</v>
      </c>
      <c r="FH3" s="3" t="s">
        <v>29</v>
      </c>
      <c r="FI3" s="3" t="s">
        <v>30</v>
      </c>
      <c r="FJ3" s="3" t="s">
        <v>31</v>
      </c>
      <c r="FK3" s="3" t="s">
        <v>32</v>
      </c>
      <c r="FL3" s="3" t="s">
        <v>33</v>
      </c>
      <c r="FM3" s="3" t="s">
        <v>34</v>
      </c>
      <c r="FN3" s="3" t="s">
        <v>11</v>
      </c>
      <c r="FO3" s="3" t="s">
        <v>12</v>
      </c>
      <c r="FP3" s="3" t="s">
        <v>13</v>
      </c>
      <c r="FQ3" s="3" t="s">
        <v>14</v>
      </c>
      <c r="FR3" s="3" t="s">
        <v>15</v>
      </c>
      <c r="FS3" s="3" t="s">
        <v>16</v>
      </c>
      <c r="FT3" s="3" t="s">
        <v>17</v>
      </c>
      <c r="FU3" s="3" t="s">
        <v>18</v>
      </c>
      <c r="FV3" s="3" t="s">
        <v>19</v>
      </c>
      <c r="FW3" s="3" t="s">
        <v>20</v>
      </c>
      <c r="FX3" s="3" t="s">
        <v>21</v>
      </c>
      <c r="FY3" s="3" t="s">
        <v>22</v>
      </c>
      <c r="FZ3" s="3" t="s">
        <v>23</v>
      </c>
      <c r="GA3" s="3" t="s">
        <v>24</v>
      </c>
      <c r="GB3" s="3" t="s">
        <v>25</v>
      </c>
      <c r="GC3" s="3" t="s">
        <v>26</v>
      </c>
      <c r="GD3" s="3" t="s">
        <v>27</v>
      </c>
      <c r="GE3" s="3" t="s">
        <v>28</v>
      </c>
      <c r="GF3" s="3" t="s">
        <v>29</v>
      </c>
      <c r="GG3" s="3" t="s">
        <v>30</v>
      </c>
      <c r="GH3" s="3" t="s">
        <v>31</v>
      </c>
      <c r="GI3" s="3" t="s">
        <v>32</v>
      </c>
      <c r="GJ3" s="3" t="s">
        <v>33</v>
      </c>
      <c r="GK3" s="3" t="s">
        <v>34</v>
      </c>
      <c r="GL3" s="3" t="s">
        <v>11</v>
      </c>
      <c r="GM3" s="3" t="s">
        <v>12</v>
      </c>
      <c r="GN3" s="3" t="s">
        <v>13</v>
      </c>
      <c r="GO3" s="3" t="s">
        <v>14</v>
      </c>
      <c r="GP3" s="3" t="s">
        <v>15</v>
      </c>
      <c r="GQ3" s="3" t="s">
        <v>16</v>
      </c>
      <c r="GR3" s="3" t="s">
        <v>17</v>
      </c>
      <c r="GS3" s="3" t="s">
        <v>18</v>
      </c>
      <c r="GT3" s="3" t="s">
        <v>19</v>
      </c>
      <c r="GU3" s="3" t="s">
        <v>20</v>
      </c>
      <c r="GV3" s="3" t="s">
        <v>21</v>
      </c>
      <c r="GW3" s="3" t="s">
        <v>22</v>
      </c>
      <c r="GX3" s="3" t="s">
        <v>23</v>
      </c>
      <c r="GY3" s="3" t="s">
        <v>24</v>
      </c>
      <c r="GZ3" s="3" t="s">
        <v>25</v>
      </c>
      <c r="HA3" s="3" t="s">
        <v>26</v>
      </c>
      <c r="HB3" s="3" t="s">
        <v>27</v>
      </c>
      <c r="HC3" s="3" t="s">
        <v>28</v>
      </c>
      <c r="HD3" s="3" t="s">
        <v>29</v>
      </c>
      <c r="HE3" s="3" t="s">
        <v>30</v>
      </c>
      <c r="HF3" s="3" t="s">
        <v>31</v>
      </c>
      <c r="HG3" s="3" t="s">
        <v>32</v>
      </c>
      <c r="HH3" s="3" t="s">
        <v>33</v>
      </c>
      <c r="HI3" s="3" t="s">
        <v>34</v>
      </c>
      <c r="HJ3" s="3" t="s">
        <v>11</v>
      </c>
      <c r="HK3" s="3" t="s">
        <v>12</v>
      </c>
      <c r="HL3" s="3" t="s">
        <v>13</v>
      </c>
      <c r="HM3" s="3" t="s">
        <v>14</v>
      </c>
      <c r="HN3" s="3" t="s">
        <v>15</v>
      </c>
      <c r="HO3" s="3" t="s">
        <v>16</v>
      </c>
      <c r="HP3" s="3" t="s">
        <v>17</v>
      </c>
      <c r="HQ3" s="3" t="s">
        <v>18</v>
      </c>
      <c r="HR3" s="3" t="s">
        <v>19</v>
      </c>
      <c r="HS3" s="3" t="s">
        <v>20</v>
      </c>
      <c r="HT3" s="3" t="s">
        <v>21</v>
      </c>
      <c r="HU3" s="3" t="s">
        <v>22</v>
      </c>
      <c r="HV3" s="3" t="s">
        <v>23</v>
      </c>
      <c r="HW3" s="3" t="s">
        <v>24</v>
      </c>
      <c r="HX3" s="3" t="s">
        <v>25</v>
      </c>
      <c r="HY3" s="3" t="s">
        <v>26</v>
      </c>
      <c r="HZ3" s="3" t="s">
        <v>27</v>
      </c>
      <c r="IA3" s="3" t="s">
        <v>28</v>
      </c>
      <c r="IB3" s="3" t="s">
        <v>29</v>
      </c>
      <c r="IC3" s="3" t="s">
        <v>30</v>
      </c>
      <c r="ID3" s="3" t="s">
        <v>31</v>
      </c>
      <c r="IE3" s="3" t="s">
        <v>32</v>
      </c>
      <c r="IF3" s="3" t="s">
        <v>33</v>
      </c>
      <c r="IG3" s="3" t="s">
        <v>34</v>
      </c>
      <c r="IH3" s="3" t="s">
        <v>11</v>
      </c>
      <c r="II3" s="3" t="s">
        <v>12</v>
      </c>
      <c r="IJ3" s="3" t="s">
        <v>13</v>
      </c>
      <c r="IK3" s="3" t="s">
        <v>14</v>
      </c>
      <c r="IL3" s="3" t="s">
        <v>15</v>
      </c>
      <c r="IM3" s="3" t="s">
        <v>16</v>
      </c>
      <c r="IN3" s="3" t="s">
        <v>17</v>
      </c>
      <c r="IO3" s="3" t="s">
        <v>18</v>
      </c>
      <c r="IP3" s="3" t="s">
        <v>19</v>
      </c>
      <c r="IQ3" s="3" t="s">
        <v>20</v>
      </c>
      <c r="IR3" s="3" t="s">
        <v>21</v>
      </c>
      <c r="IS3" s="3" t="s">
        <v>22</v>
      </c>
      <c r="IT3" s="3" t="s">
        <v>23</v>
      </c>
      <c r="IU3" s="3" t="s">
        <v>24</v>
      </c>
      <c r="IV3" s="3" t="s">
        <v>25</v>
      </c>
      <c r="IW3" s="3" t="s">
        <v>26</v>
      </c>
      <c r="IX3" s="3" t="s">
        <v>27</v>
      </c>
      <c r="IY3" s="3" t="s">
        <v>28</v>
      </c>
      <c r="IZ3" s="3" t="s">
        <v>29</v>
      </c>
      <c r="JA3" s="3" t="s">
        <v>30</v>
      </c>
      <c r="JB3" s="3" t="s">
        <v>31</v>
      </c>
      <c r="JC3" s="3" t="s">
        <v>32</v>
      </c>
      <c r="JD3" s="3" t="s">
        <v>33</v>
      </c>
      <c r="JE3" s="3" t="s">
        <v>34</v>
      </c>
      <c r="JF3" s="3" t="s">
        <v>11</v>
      </c>
      <c r="JG3" s="3" t="s">
        <v>12</v>
      </c>
      <c r="JH3" s="3" t="s">
        <v>13</v>
      </c>
      <c r="JI3" s="3" t="s">
        <v>14</v>
      </c>
      <c r="JJ3" s="3" t="s">
        <v>15</v>
      </c>
      <c r="JK3" s="3" t="s">
        <v>16</v>
      </c>
      <c r="JL3" s="3" t="s">
        <v>17</v>
      </c>
      <c r="JM3" s="3" t="s">
        <v>18</v>
      </c>
      <c r="JN3" s="3" t="s">
        <v>19</v>
      </c>
      <c r="JO3" s="3" t="s">
        <v>20</v>
      </c>
      <c r="JP3" s="3" t="s">
        <v>21</v>
      </c>
      <c r="JQ3" s="3" t="s">
        <v>22</v>
      </c>
      <c r="JR3" s="3" t="s">
        <v>23</v>
      </c>
      <c r="JS3" s="3" t="s">
        <v>24</v>
      </c>
      <c r="JT3" s="3" t="s">
        <v>25</v>
      </c>
      <c r="JU3" s="3" t="s">
        <v>26</v>
      </c>
      <c r="JV3" s="3" t="s">
        <v>27</v>
      </c>
      <c r="JW3" s="3" t="s">
        <v>28</v>
      </c>
      <c r="JX3" s="3" t="s">
        <v>29</v>
      </c>
      <c r="JY3" s="3" t="s">
        <v>30</v>
      </c>
      <c r="JZ3" s="3" t="s">
        <v>31</v>
      </c>
      <c r="KA3" s="3" t="s">
        <v>32</v>
      </c>
      <c r="KB3" s="3" t="s">
        <v>33</v>
      </c>
      <c r="KC3" s="3" t="s">
        <v>34</v>
      </c>
      <c r="KD3" s="3" t="s">
        <v>11</v>
      </c>
      <c r="KE3" s="3" t="s">
        <v>12</v>
      </c>
      <c r="KF3" s="3" t="s">
        <v>13</v>
      </c>
      <c r="KG3" s="3" t="s">
        <v>14</v>
      </c>
      <c r="KH3" s="3" t="s">
        <v>15</v>
      </c>
      <c r="KI3" s="3" t="s">
        <v>16</v>
      </c>
      <c r="KJ3" s="3" t="s">
        <v>17</v>
      </c>
      <c r="KK3" s="3" t="s">
        <v>18</v>
      </c>
      <c r="KL3" s="3" t="s">
        <v>19</v>
      </c>
      <c r="KM3" s="3" t="s">
        <v>20</v>
      </c>
      <c r="KN3" s="3" t="s">
        <v>21</v>
      </c>
      <c r="KO3" s="3" t="s">
        <v>22</v>
      </c>
      <c r="KP3" s="3" t="s">
        <v>23</v>
      </c>
      <c r="KQ3" s="3" t="s">
        <v>24</v>
      </c>
      <c r="KR3" s="3" t="s">
        <v>25</v>
      </c>
      <c r="KS3" s="3" t="s">
        <v>26</v>
      </c>
      <c r="KT3" s="3" t="s">
        <v>27</v>
      </c>
      <c r="KU3" s="3" t="s">
        <v>28</v>
      </c>
      <c r="KV3" s="3" t="s">
        <v>29</v>
      </c>
      <c r="KW3" s="3" t="s">
        <v>30</v>
      </c>
      <c r="KX3" s="3" t="s">
        <v>31</v>
      </c>
      <c r="KY3" s="3" t="s">
        <v>32</v>
      </c>
      <c r="KZ3" s="3" t="s">
        <v>33</v>
      </c>
      <c r="LA3" s="3" t="s">
        <v>34</v>
      </c>
      <c r="LB3" s="3" t="s">
        <v>11</v>
      </c>
      <c r="LC3" s="3" t="s">
        <v>12</v>
      </c>
      <c r="LD3" s="3" t="s">
        <v>13</v>
      </c>
      <c r="LE3" s="3" t="s">
        <v>14</v>
      </c>
      <c r="LF3" s="3" t="s">
        <v>15</v>
      </c>
      <c r="LG3" s="3" t="s">
        <v>16</v>
      </c>
      <c r="LH3" s="3" t="s">
        <v>17</v>
      </c>
      <c r="LI3" s="3" t="s">
        <v>18</v>
      </c>
      <c r="LJ3" s="3" t="s">
        <v>19</v>
      </c>
      <c r="LK3" s="3" t="s">
        <v>20</v>
      </c>
      <c r="LL3" s="3" t="s">
        <v>21</v>
      </c>
      <c r="LM3" s="3" t="s">
        <v>22</v>
      </c>
      <c r="LN3" s="3" t="s">
        <v>23</v>
      </c>
      <c r="LO3" s="3" t="s">
        <v>24</v>
      </c>
      <c r="LP3" s="3" t="s">
        <v>25</v>
      </c>
      <c r="LQ3" s="3" t="s">
        <v>26</v>
      </c>
      <c r="LR3" s="3" t="s">
        <v>27</v>
      </c>
      <c r="LS3" s="3" t="s">
        <v>28</v>
      </c>
      <c r="LT3" s="3" t="s">
        <v>29</v>
      </c>
      <c r="LU3" s="3" t="s">
        <v>30</v>
      </c>
      <c r="LV3" s="3" t="s">
        <v>31</v>
      </c>
      <c r="LW3" s="3" t="s">
        <v>32</v>
      </c>
      <c r="LX3" s="3" t="s">
        <v>33</v>
      </c>
      <c r="LY3" s="3" t="s">
        <v>34</v>
      </c>
      <c r="LZ3" s="3" t="s">
        <v>11</v>
      </c>
      <c r="MA3" s="3" t="s">
        <v>12</v>
      </c>
      <c r="MB3" s="3" t="s">
        <v>13</v>
      </c>
      <c r="MC3" s="3" t="s">
        <v>14</v>
      </c>
      <c r="MD3" s="3" t="s">
        <v>15</v>
      </c>
      <c r="ME3" s="3" t="s">
        <v>16</v>
      </c>
      <c r="MF3" s="3" t="s">
        <v>17</v>
      </c>
      <c r="MG3" s="3" t="s">
        <v>18</v>
      </c>
      <c r="MH3" s="3" t="s">
        <v>19</v>
      </c>
      <c r="MI3" s="3" t="s">
        <v>20</v>
      </c>
      <c r="MJ3" s="3" t="s">
        <v>21</v>
      </c>
      <c r="MK3" s="3" t="s">
        <v>22</v>
      </c>
      <c r="ML3" s="3" t="s">
        <v>23</v>
      </c>
      <c r="MM3" s="3" t="s">
        <v>24</v>
      </c>
      <c r="MN3" s="3" t="s">
        <v>25</v>
      </c>
      <c r="MO3" s="3" t="s">
        <v>26</v>
      </c>
      <c r="MP3" s="3" t="s">
        <v>27</v>
      </c>
      <c r="MQ3" s="3" t="s">
        <v>28</v>
      </c>
      <c r="MR3" s="3" t="s">
        <v>29</v>
      </c>
      <c r="MS3" s="3" t="s">
        <v>30</v>
      </c>
      <c r="MT3" s="3" t="s">
        <v>31</v>
      </c>
      <c r="MU3" s="3" t="s">
        <v>32</v>
      </c>
      <c r="MV3" s="3" t="s">
        <v>33</v>
      </c>
      <c r="MW3" s="3" t="s">
        <v>34</v>
      </c>
      <c r="MX3" s="3" t="s">
        <v>11</v>
      </c>
      <c r="MY3" s="3" t="s">
        <v>12</v>
      </c>
      <c r="MZ3" s="3" t="s">
        <v>13</v>
      </c>
      <c r="NA3" s="3" t="s">
        <v>14</v>
      </c>
      <c r="NB3" s="3" t="s">
        <v>15</v>
      </c>
      <c r="NC3" s="3" t="s">
        <v>16</v>
      </c>
      <c r="ND3" s="3" t="s">
        <v>17</v>
      </c>
      <c r="NE3" s="3" t="s">
        <v>18</v>
      </c>
      <c r="NF3" s="3" t="s">
        <v>19</v>
      </c>
      <c r="NG3" s="3" t="s">
        <v>20</v>
      </c>
      <c r="NH3" s="3" t="s">
        <v>21</v>
      </c>
      <c r="NI3" s="3" t="s">
        <v>22</v>
      </c>
      <c r="NJ3" s="3" t="s">
        <v>23</v>
      </c>
      <c r="NK3" s="3" t="s">
        <v>24</v>
      </c>
      <c r="NL3" s="3" t="s">
        <v>25</v>
      </c>
      <c r="NM3" s="3" t="s">
        <v>26</v>
      </c>
      <c r="NN3" s="3" t="s">
        <v>27</v>
      </c>
      <c r="NO3" s="3" t="s">
        <v>28</v>
      </c>
      <c r="NP3" s="3" t="s">
        <v>29</v>
      </c>
      <c r="NQ3" s="3" t="s">
        <v>30</v>
      </c>
      <c r="NR3" s="3" t="s">
        <v>31</v>
      </c>
      <c r="NS3" s="3" t="s">
        <v>32</v>
      </c>
      <c r="NT3" s="3" t="s">
        <v>33</v>
      </c>
      <c r="NU3" s="3" t="s">
        <v>34</v>
      </c>
      <c r="NV3" s="3" t="s">
        <v>11</v>
      </c>
      <c r="NW3" s="3" t="s">
        <v>12</v>
      </c>
      <c r="NX3" s="3" t="s">
        <v>13</v>
      </c>
      <c r="NY3" s="3" t="s">
        <v>14</v>
      </c>
      <c r="NZ3" s="3" t="s">
        <v>15</v>
      </c>
      <c r="OA3" s="3" t="s">
        <v>16</v>
      </c>
      <c r="OB3" s="3" t="s">
        <v>17</v>
      </c>
      <c r="OC3" s="3" t="s">
        <v>18</v>
      </c>
      <c r="OD3" s="3" t="s">
        <v>19</v>
      </c>
      <c r="OE3" s="3" t="s">
        <v>20</v>
      </c>
      <c r="OF3" s="3" t="s">
        <v>21</v>
      </c>
      <c r="OG3" s="3" t="s">
        <v>22</v>
      </c>
      <c r="OH3" s="3" t="s">
        <v>23</v>
      </c>
      <c r="OI3" s="3" t="s">
        <v>24</v>
      </c>
      <c r="OJ3" s="3" t="s">
        <v>25</v>
      </c>
      <c r="OK3" s="3" t="s">
        <v>26</v>
      </c>
      <c r="OL3" s="3" t="s">
        <v>27</v>
      </c>
      <c r="OM3" s="3" t="s">
        <v>28</v>
      </c>
      <c r="ON3" s="3" t="s">
        <v>29</v>
      </c>
      <c r="OO3" s="3" t="s">
        <v>30</v>
      </c>
      <c r="OP3" s="3" t="s">
        <v>31</v>
      </c>
      <c r="OQ3" s="3" t="s">
        <v>32</v>
      </c>
      <c r="OR3" s="3" t="s">
        <v>33</v>
      </c>
      <c r="OS3" s="3" t="s">
        <v>34</v>
      </c>
      <c r="OT3" s="3" t="s">
        <v>11</v>
      </c>
      <c r="OU3" s="3" t="s">
        <v>12</v>
      </c>
      <c r="OV3" s="3" t="s">
        <v>13</v>
      </c>
      <c r="OW3" s="3" t="s">
        <v>14</v>
      </c>
      <c r="OX3" s="3" t="s">
        <v>15</v>
      </c>
      <c r="OY3" s="3" t="s">
        <v>16</v>
      </c>
      <c r="OZ3" s="3" t="s">
        <v>17</v>
      </c>
      <c r="PA3" s="3" t="s">
        <v>18</v>
      </c>
      <c r="PB3" s="3" t="s">
        <v>19</v>
      </c>
      <c r="PC3" s="3" t="s">
        <v>20</v>
      </c>
      <c r="PD3" s="3" t="s">
        <v>21</v>
      </c>
      <c r="PE3" s="3" t="s">
        <v>22</v>
      </c>
      <c r="PF3" s="3" t="s">
        <v>23</v>
      </c>
      <c r="PG3" s="3" t="s">
        <v>24</v>
      </c>
      <c r="PH3" s="3" t="s">
        <v>25</v>
      </c>
      <c r="PI3" s="3" t="s">
        <v>26</v>
      </c>
      <c r="PJ3" s="3" t="s">
        <v>27</v>
      </c>
      <c r="PK3" s="3" t="s">
        <v>28</v>
      </c>
      <c r="PL3" s="3" t="s">
        <v>29</v>
      </c>
      <c r="PM3" s="3" t="s">
        <v>30</v>
      </c>
      <c r="PN3" s="3" t="s">
        <v>31</v>
      </c>
      <c r="PO3" s="3" t="s">
        <v>32</v>
      </c>
      <c r="PP3" s="3" t="s">
        <v>33</v>
      </c>
      <c r="PQ3" s="3" t="s">
        <v>34</v>
      </c>
      <c r="PR3" s="3" t="s">
        <v>11</v>
      </c>
      <c r="PS3" s="3" t="s">
        <v>12</v>
      </c>
      <c r="PT3" s="3" t="s">
        <v>13</v>
      </c>
      <c r="PU3" s="3" t="s">
        <v>14</v>
      </c>
      <c r="PV3" s="3" t="s">
        <v>15</v>
      </c>
      <c r="PW3" s="3" t="s">
        <v>16</v>
      </c>
      <c r="PX3" s="3" t="s">
        <v>17</v>
      </c>
      <c r="PY3" s="3" t="s">
        <v>18</v>
      </c>
      <c r="PZ3" s="3" t="s">
        <v>19</v>
      </c>
      <c r="QA3" s="3" t="s">
        <v>20</v>
      </c>
      <c r="QB3" s="3" t="s">
        <v>21</v>
      </c>
      <c r="QC3" s="3" t="s">
        <v>22</v>
      </c>
      <c r="QD3" s="3" t="s">
        <v>23</v>
      </c>
      <c r="QE3" s="3" t="s">
        <v>24</v>
      </c>
      <c r="QF3" s="3" t="s">
        <v>25</v>
      </c>
      <c r="QG3" s="3" t="s">
        <v>26</v>
      </c>
      <c r="QH3" s="3" t="s">
        <v>27</v>
      </c>
      <c r="QI3" s="3" t="s">
        <v>28</v>
      </c>
      <c r="QJ3" s="3" t="s">
        <v>29</v>
      </c>
      <c r="QK3" s="3" t="s">
        <v>30</v>
      </c>
      <c r="QL3" s="3" t="s">
        <v>31</v>
      </c>
      <c r="QM3" s="3" t="s">
        <v>32</v>
      </c>
      <c r="QN3" s="3" t="s">
        <v>33</v>
      </c>
      <c r="QO3" s="3" t="s">
        <v>34</v>
      </c>
      <c r="QP3" s="3" t="s">
        <v>11</v>
      </c>
      <c r="QQ3" s="3" t="s">
        <v>12</v>
      </c>
      <c r="QR3" s="3" t="s">
        <v>13</v>
      </c>
      <c r="QS3" s="3" t="s">
        <v>14</v>
      </c>
      <c r="QT3" s="3" t="s">
        <v>15</v>
      </c>
      <c r="QU3" s="3" t="s">
        <v>16</v>
      </c>
      <c r="QV3" s="3" t="s">
        <v>17</v>
      </c>
      <c r="QW3" s="3" t="s">
        <v>18</v>
      </c>
      <c r="QX3" s="3" t="s">
        <v>19</v>
      </c>
      <c r="QY3" s="3" t="s">
        <v>20</v>
      </c>
      <c r="QZ3" s="3" t="s">
        <v>21</v>
      </c>
      <c r="RA3" s="3" t="s">
        <v>22</v>
      </c>
      <c r="RB3" s="3" t="s">
        <v>23</v>
      </c>
      <c r="RC3" s="3" t="s">
        <v>24</v>
      </c>
      <c r="RD3" s="3" t="s">
        <v>25</v>
      </c>
      <c r="RE3" s="3" t="s">
        <v>26</v>
      </c>
      <c r="RF3" s="3" t="s">
        <v>27</v>
      </c>
      <c r="RG3" s="3" t="s">
        <v>28</v>
      </c>
      <c r="RH3" s="3" t="s">
        <v>29</v>
      </c>
      <c r="RI3" s="3" t="s">
        <v>30</v>
      </c>
      <c r="RJ3" s="3" t="s">
        <v>31</v>
      </c>
      <c r="RK3" s="3" t="s">
        <v>32</v>
      </c>
      <c r="RL3" s="3" t="s">
        <v>33</v>
      </c>
      <c r="RM3" s="3" t="s">
        <v>34</v>
      </c>
      <c r="RN3" s="3" t="s">
        <v>11</v>
      </c>
      <c r="RO3" s="3" t="s">
        <v>12</v>
      </c>
      <c r="RP3" s="3" t="s">
        <v>13</v>
      </c>
      <c r="RQ3" s="3" t="s">
        <v>14</v>
      </c>
      <c r="RR3" s="3" t="s">
        <v>15</v>
      </c>
      <c r="RS3" s="3" t="s">
        <v>16</v>
      </c>
      <c r="RT3" s="3" t="s">
        <v>17</v>
      </c>
      <c r="RU3" s="3" t="s">
        <v>18</v>
      </c>
      <c r="RV3" s="3" t="s">
        <v>19</v>
      </c>
      <c r="RW3" s="3" t="s">
        <v>20</v>
      </c>
      <c r="RX3" s="3" t="s">
        <v>21</v>
      </c>
      <c r="RY3" s="3" t="s">
        <v>22</v>
      </c>
      <c r="RZ3" s="3" t="s">
        <v>23</v>
      </c>
      <c r="SA3" s="3" t="s">
        <v>24</v>
      </c>
      <c r="SB3" s="3" t="s">
        <v>25</v>
      </c>
      <c r="SC3" s="3" t="s">
        <v>26</v>
      </c>
      <c r="SD3" s="3" t="s">
        <v>27</v>
      </c>
      <c r="SE3" s="3" t="s">
        <v>28</v>
      </c>
      <c r="SF3" s="3" t="s">
        <v>29</v>
      </c>
      <c r="SG3" s="3" t="s">
        <v>30</v>
      </c>
      <c r="SH3" s="3" t="s">
        <v>31</v>
      </c>
      <c r="SI3" s="3" t="s">
        <v>32</v>
      </c>
      <c r="SJ3" s="3" t="s">
        <v>33</v>
      </c>
      <c r="SK3" s="3" t="s">
        <v>34</v>
      </c>
      <c r="SL3" s="3" t="s">
        <v>11</v>
      </c>
      <c r="SM3" s="3" t="s">
        <v>12</v>
      </c>
      <c r="SN3" s="3" t="s">
        <v>13</v>
      </c>
      <c r="SO3" s="3" t="s">
        <v>14</v>
      </c>
      <c r="SP3" s="3" t="s">
        <v>15</v>
      </c>
      <c r="SQ3" s="3" t="s">
        <v>16</v>
      </c>
      <c r="SR3" s="3" t="s">
        <v>17</v>
      </c>
      <c r="SS3" s="3" t="s">
        <v>18</v>
      </c>
      <c r="ST3" s="3" t="s">
        <v>19</v>
      </c>
      <c r="SU3" s="3" t="s">
        <v>20</v>
      </c>
      <c r="SV3" s="3" t="s">
        <v>21</v>
      </c>
      <c r="SW3" s="3" t="s">
        <v>22</v>
      </c>
      <c r="SX3" s="3" t="s">
        <v>23</v>
      </c>
      <c r="SY3" s="3" t="s">
        <v>24</v>
      </c>
      <c r="SZ3" s="3" t="s">
        <v>25</v>
      </c>
      <c r="TA3" s="3" t="s">
        <v>26</v>
      </c>
      <c r="TB3" s="3" t="s">
        <v>27</v>
      </c>
      <c r="TC3" s="3" t="s">
        <v>28</v>
      </c>
      <c r="TD3" s="3" t="s">
        <v>29</v>
      </c>
      <c r="TE3" s="3" t="s">
        <v>30</v>
      </c>
      <c r="TF3" s="3" t="s">
        <v>31</v>
      </c>
      <c r="TG3" s="3" t="s">
        <v>32</v>
      </c>
      <c r="TH3" s="3" t="s">
        <v>33</v>
      </c>
      <c r="TI3" s="3" t="s">
        <v>34</v>
      </c>
      <c r="TJ3" s="3" t="s">
        <v>11</v>
      </c>
      <c r="TK3" s="3" t="s">
        <v>12</v>
      </c>
      <c r="TL3" s="3" t="s">
        <v>13</v>
      </c>
      <c r="TM3" s="3" t="s">
        <v>14</v>
      </c>
      <c r="TN3" s="3" t="s">
        <v>15</v>
      </c>
      <c r="TO3" s="3" t="s">
        <v>16</v>
      </c>
      <c r="TP3" s="3" t="s">
        <v>17</v>
      </c>
      <c r="TQ3" s="3" t="s">
        <v>18</v>
      </c>
      <c r="TR3" s="3" t="s">
        <v>19</v>
      </c>
      <c r="TS3" s="3" t="s">
        <v>20</v>
      </c>
      <c r="TT3" s="3" t="s">
        <v>21</v>
      </c>
      <c r="TU3" s="3" t="s">
        <v>22</v>
      </c>
      <c r="TV3" s="3" t="s">
        <v>23</v>
      </c>
      <c r="TW3" s="3" t="s">
        <v>24</v>
      </c>
      <c r="TX3" s="3" t="s">
        <v>25</v>
      </c>
      <c r="TY3" s="3" t="s">
        <v>26</v>
      </c>
      <c r="TZ3" s="3" t="s">
        <v>27</v>
      </c>
      <c r="UA3" s="3" t="s">
        <v>28</v>
      </c>
      <c r="UB3" s="3" t="s">
        <v>29</v>
      </c>
      <c r="UC3" s="3" t="s">
        <v>30</v>
      </c>
      <c r="UD3" s="3" t="s">
        <v>31</v>
      </c>
      <c r="UE3" s="3" t="s">
        <v>32</v>
      </c>
      <c r="UF3" s="3" t="s">
        <v>33</v>
      </c>
      <c r="UG3" s="3" t="s">
        <v>34</v>
      </c>
      <c r="UH3" s="3" t="s">
        <v>11</v>
      </c>
      <c r="UI3" s="3" t="s">
        <v>12</v>
      </c>
      <c r="UJ3" s="3" t="s">
        <v>13</v>
      </c>
      <c r="UK3" s="3" t="s">
        <v>14</v>
      </c>
      <c r="UL3" s="3" t="s">
        <v>15</v>
      </c>
      <c r="UM3" s="3" t="s">
        <v>16</v>
      </c>
      <c r="UN3" s="3" t="s">
        <v>17</v>
      </c>
      <c r="UO3" s="3" t="s">
        <v>18</v>
      </c>
      <c r="UP3" s="3" t="s">
        <v>19</v>
      </c>
      <c r="UQ3" s="3" t="s">
        <v>20</v>
      </c>
      <c r="UR3" s="3" t="s">
        <v>21</v>
      </c>
      <c r="US3" s="3" t="s">
        <v>22</v>
      </c>
      <c r="UT3" s="3" t="s">
        <v>23</v>
      </c>
      <c r="UU3" s="3" t="s">
        <v>24</v>
      </c>
      <c r="UV3" s="3" t="s">
        <v>25</v>
      </c>
      <c r="UW3" s="3" t="s">
        <v>26</v>
      </c>
      <c r="UX3" s="3" t="s">
        <v>27</v>
      </c>
      <c r="UY3" s="3" t="s">
        <v>28</v>
      </c>
      <c r="UZ3" s="3" t="s">
        <v>29</v>
      </c>
      <c r="VA3" s="3" t="s">
        <v>30</v>
      </c>
      <c r="VB3" s="3" t="s">
        <v>31</v>
      </c>
      <c r="VC3" s="3" t="s">
        <v>32</v>
      </c>
      <c r="VD3" s="3" t="s">
        <v>33</v>
      </c>
      <c r="VE3" s="3" t="s">
        <v>34</v>
      </c>
      <c r="VF3" s="3" t="s">
        <v>11</v>
      </c>
      <c r="VG3" s="3" t="s">
        <v>12</v>
      </c>
      <c r="VH3" s="3" t="s">
        <v>13</v>
      </c>
      <c r="VI3" s="3" t="s">
        <v>14</v>
      </c>
      <c r="VJ3" s="3" t="s">
        <v>15</v>
      </c>
      <c r="VK3" s="3" t="s">
        <v>16</v>
      </c>
      <c r="VL3" s="3" t="s">
        <v>17</v>
      </c>
      <c r="VM3" s="3" t="s">
        <v>18</v>
      </c>
      <c r="VN3" s="3" t="s">
        <v>19</v>
      </c>
      <c r="VO3" s="3" t="s">
        <v>20</v>
      </c>
      <c r="VP3" s="3" t="s">
        <v>21</v>
      </c>
      <c r="VQ3" s="3" t="s">
        <v>22</v>
      </c>
      <c r="VR3" s="3" t="s">
        <v>23</v>
      </c>
      <c r="VS3" s="3" t="s">
        <v>24</v>
      </c>
      <c r="VT3" s="3" t="s">
        <v>25</v>
      </c>
      <c r="VU3" s="3" t="s">
        <v>26</v>
      </c>
      <c r="VV3" s="3" t="s">
        <v>27</v>
      </c>
      <c r="VW3" s="3" t="s">
        <v>28</v>
      </c>
      <c r="VX3" s="3" t="s">
        <v>29</v>
      </c>
      <c r="VY3" s="3" t="s">
        <v>30</v>
      </c>
      <c r="VZ3" s="3" t="s">
        <v>31</v>
      </c>
      <c r="WA3" s="3" t="s">
        <v>32</v>
      </c>
      <c r="WB3" s="3" t="s">
        <v>33</v>
      </c>
      <c r="WC3" s="3" t="s">
        <v>34</v>
      </c>
      <c r="WD3" s="3" t="s">
        <v>11</v>
      </c>
      <c r="WE3" s="3" t="s">
        <v>12</v>
      </c>
      <c r="WF3" s="3" t="s">
        <v>13</v>
      </c>
      <c r="WG3" s="3" t="s">
        <v>14</v>
      </c>
      <c r="WH3" s="3" t="s">
        <v>15</v>
      </c>
      <c r="WI3" s="3" t="s">
        <v>16</v>
      </c>
      <c r="WJ3" s="3" t="s">
        <v>17</v>
      </c>
      <c r="WK3" s="3" t="s">
        <v>18</v>
      </c>
      <c r="WL3" s="3" t="s">
        <v>19</v>
      </c>
      <c r="WM3" s="3" t="s">
        <v>20</v>
      </c>
      <c r="WN3" s="3" t="s">
        <v>21</v>
      </c>
      <c r="WO3" s="3" t="s">
        <v>22</v>
      </c>
      <c r="WP3" s="3" t="s">
        <v>23</v>
      </c>
      <c r="WQ3" s="3" t="s">
        <v>24</v>
      </c>
      <c r="WR3" s="3" t="s">
        <v>25</v>
      </c>
      <c r="WS3" s="3" t="s">
        <v>26</v>
      </c>
      <c r="WT3" s="3" t="s">
        <v>27</v>
      </c>
      <c r="WU3" s="3" t="s">
        <v>28</v>
      </c>
      <c r="WV3" s="3" t="s">
        <v>29</v>
      </c>
      <c r="WW3" s="3" t="s">
        <v>30</v>
      </c>
      <c r="WX3" s="3" t="s">
        <v>31</v>
      </c>
      <c r="WY3" s="3" t="s">
        <v>32</v>
      </c>
      <c r="WZ3" s="3" t="s">
        <v>33</v>
      </c>
      <c r="XA3" s="3" t="s">
        <v>34</v>
      </c>
      <c r="XB3" s="3" t="s">
        <v>11</v>
      </c>
      <c r="XC3" s="3" t="s">
        <v>12</v>
      </c>
      <c r="XD3" s="3" t="s">
        <v>13</v>
      </c>
      <c r="XE3" s="3" t="s">
        <v>14</v>
      </c>
      <c r="XF3" s="3" t="s">
        <v>15</v>
      </c>
      <c r="XG3" s="3" t="s">
        <v>16</v>
      </c>
      <c r="XH3" s="3" t="s">
        <v>17</v>
      </c>
      <c r="XI3" s="3" t="s">
        <v>18</v>
      </c>
      <c r="XJ3" s="3" t="s">
        <v>19</v>
      </c>
      <c r="XK3" s="3" t="s">
        <v>20</v>
      </c>
      <c r="XL3" s="3" t="s">
        <v>21</v>
      </c>
      <c r="XM3" s="3" t="s">
        <v>22</v>
      </c>
      <c r="XN3" s="3" t="s">
        <v>23</v>
      </c>
      <c r="XO3" s="3" t="s">
        <v>24</v>
      </c>
      <c r="XP3" s="3" t="s">
        <v>25</v>
      </c>
      <c r="XQ3" s="3" t="s">
        <v>26</v>
      </c>
      <c r="XR3" s="3" t="s">
        <v>27</v>
      </c>
      <c r="XS3" s="3" t="s">
        <v>28</v>
      </c>
      <c r="XT3" s="3" t="s">
        <v>29</v>
      </c>
      <c r="XU3" s="3" t="s">
        <v>30</v>
      </c>
      <c r="XV3" s="3" t="s">
        <v>31</v>
      </c>
      <c r="XW3" s="3" t="s">
        <v>32</v>
      </c>
      <c r="XX3" s="3" t="s">
        <v>33</v>
      </c>
      <c r="XY3" s="3" t="s">
        <v>34</v>
      </c>
      <c r="XZ3" s="3" t="s">
        <v>11</v>
      </c>
      <c r="YA3" s="3" t="s">
        <v>12</v>
      </c>
      <c r="YB3" s="3" t="s">
        <v>13</v>
      </c>
      <c r="YC3" s="3" t="s">
        <v>14</v>
      </c>
      <c r="YD3" s="3" t="s">
        <v>15</v>
      </c>
      <c r="YE3" s="3" t="s">
        <v>16</v>
      </c>
      <c r="YF3" s="3" t="s">
        <v>17</v>
      </c>
      <c r="YG3" s="3" t="s">
        <v>18</v>
      </c>
      <c r="YH3" s="3" t="s">
        <v>19</v>
      </c>
      <c r="YI3" s="3" t="s">
        <v>20</v>
      </c>
      <c r="YJ3" s="3" t="s">
        <v>21</v>
      </c>
      <c r="YK3" s="3" t="s">
        <v>22</v>
      </c>
      <c r="YL3" s="3" t="s">
        <v>23</v>
      </c>
      <c r="YM3" s="3" t="s">
        <v>24</v>
      </c>
      <c r="YN3" s="3" t="s">
        <v>25</v>
      </c>
      <c r="YO3" s="3" t="s">
        <v>26</v>
      </c>
      <c r="YP3" s="3" t="s">
        <v>27</v>
      </c>
      <c r="YQ3" s="3" t="s">
        <v>28</v>
      </c>
      <c r="YR3" s="3" t="s">
        <v>29</v>
      </c>
      <c r="YS3" s="3" t="s">
        <v>30</v>
      </c>
      <c r="YT3" s="3" t="s">
        <v>31</v>
      </c>
      <c r="YU3" s="3" t="s">
        <v>32</v>
      </c>
      <c r="YV3" s="3" t="s">
        <v>33</v>
      </c>
      <c r="YW3" s="3" t="s">
        <v>34</v>
      </c>
      <c r="YX3" s="3" t="s">
        <v>11</v>
      </c>
      <c r="YY3" s="3" t="s">
        <v>12</v>
      </c>
      <c r="YZ3" s="3" t="s">
        <v>13</v>
      </c>
      <c r="ZA3" s="3" t="s">
        <v>14</v>
      </c>
      <c r="ZB3" s="3" t="s">
        <v>15</v>
      </c>
      <c r="ZC3" s="3" t="s">
        <v>16</v>
      </c>
      <c r="ZD3" s="3" t="s">
        <v>17</v>
      </c>
      <c r="ZE3" s="3" t="s">
        <v>18</v>
      </c>
      <c r="ZF3" s="3" t="s">
        <v>19</v>
      </c>
      <c r="ZG3" s="3" t="s">
        <v>20</v>
      </c>
      <c r="ZH3" s="3" t="s">
        <v>21</v>
      </c>
      <c r="ZI3" s="3" t="s">
        <v>22</v>
      </c>
      <c r="ZJ3" s="3" t="s">
        <v>23</v>
      </c>
      <c r="ZK3" s="3" t="s">
        <v>24</v>
      </c>
      <c r="ZL3" s="3" t="s">
        <v>25</v>
      </c>
      <c r="ZM3" s="3" t="s">
        <v>26</v>
      </c>
      <c r="ZN3" s="3" t="s">
        <v>27</v>
      </c>
      <c r="ZO3" s="3" t="s">
        <v>28</v>
      </c>
      <c r="ZP3" s="3" t="s">
        <v>29</v>
      </c>
      <c r="ZQ3" s="3" t="s">
        <v>30</v>
      </c>
      <c r="ZR3" s="3" t="s">
        <v>31</v>
      </c>
      <c r="ZS3" s="3" t="s">
        <v>32</v>
      </c>
      <c r="ZT3" s="3" t="s">
        <v>33</v>
      </c>
      <c r="ZU3" s="3" t="s">
        <v>34</v>
      </c>
      <c r="ZV3" s="3" t="s">
        <v>11</v>
      </c>
      <c r="ZW3" s="3" t="s">
        <v>12</v>
      </c>
      <c r="ZX3" s="3" t="s">
        <v>13</v>
      </c>
      <c r="ZY3" s="3" t="s">
        <v>14</v>
      </c>
      <c r="ZZ3" s="3" t="s">
        <v>15</v>
      </c>
      <c r="AAA3" s="3" t="s">
        <v>16</v>
      </c>
      <c r="AAB3" s="3" t="s">
        <v>17</v>
      </c>
      <c r="AAC3" s="3" t="s">
        <v>18</v>
      </c>
      <c r="AAD3" s="3" t="s">
        <v>19</v>
      </c>
      <c r="AAE3" s="3" t="s">
        <v>20</v>
      </c>
      <c r="AAF3" s="3" t="s">
        <v>21</v>
      </c>
      <c r="AAG3" s="3" t="s">
        <v>22</v>
      </c>
      <c r="AAH3" s="3" t="s">
        <v>23</v>
      </c>
      <c r="AAI3" s="3" t="s">
        <v>24</v>
      </c>
      <c r="AAJ3" s="3" t="s">
        <v>25</v>
      </c>
      <c r="AAK3" s="3" t="s">
        <v>26</v>
      </c>
      <c r="AAL3" s="3" t="s">
        <v>27</v>
      </c>
      <c r="AAM3" s="3" t="s">
        <v>28</v>
      </c>
      <c r="AAN3" s="3" t="s">
        <v>29</v>
      </c>
      <c r="AAO3" s="3" t="s">
        <v>30</v>
      </c>
      <c r="AAP3" s="3" t="s">
        <v>31</v>
      </c>
      <c r="AAQ3" s="3" t="s">
        <v>32</v>
      </c>
      <c r="AAR3" s="3" t="s">
        <v>33</v>
      </c>
      <c r="AAS3" s="3" t="s">
        <v>34</v>
      </c>
      <c r="AAT3" s="3" t="s">
        <v>11</v>
      </c>
      <c r="AAU3" s="3" t="s">
        <v>12</v>
      </c>
      <c r="AAV3" s="3" t="s">
        <v>13</v>
      </c>
      <c r="AAW3" s="3" t="s">
        <v>14</v>
      </c>
      <c r="AAX3" s="3" t="s">
        <v>15</v>
      </c>
      <c r="AAY3" s="3" t="s">
        <v>16</v>
      </c>
      <c r="AAZ3" s="3" t="s">
        <v>17</v>
      </c>
      <c r="ABA3" s="3" t="s">
        <v>18</v>
      </c>
      <c r="ABB3" s="3" t="s">
        <v>19</v>
      </c>
      <c r="ABC3" s="3" t="s">
        <v>20</v>
      </c>
      <c r="ABD3" s="3" t="s">
        <v>21</v>
      </c>
      <c r="ABE3" s="3" t="s">
        <v>22</v>
      </c>
      <c r="ABF3" s="3" t="s">
        <v>23</v>
      </c>
      <c r="ABG3" s="3" t="s">
        <v>24</v>
      </c>
      <c r="ABH3" s="3" t="s">
        <v>25</v>
      </c>
      <c r="ABI3" s="3" t="s">
        <v>26</v>
      </c>
      <c r="ABJ3" s="3" t="s">
        <v>27</v>
      </c>
      <c r="ABK3" s="3" t="s">
        <v>28</v>
      </c>
      <c r="ABL3" s="3" t="s">
        <v>29</v>
      </c>
      <c r="ABM3" s="3" t="s">
        <v>30</v>
      </c>
      <c r="ABN3" s="3" t="s">
        <v>31</v>
      </c>
      <c r="ABO3" s="3" t="s">
        <v>32</v>
      </c>
      <c r="ABP3" s="3" t="s">
        <v>33</v>
      </c>
      <c r="ABQ3" s="3" t="s">
        <v>34</v>
      </c>
      <c r="ABR3" s="3" t="s">
        <v>11</v>
      </c>
      <c r="ABS3" s="3" t="s">
        <v>12</v>
      </c>
      <c r="ABT3" s="3" t="s">
        <v>13</v>
      </c>
      <c r="ABU3" s="3" t="s">
        <v>14</v>
      </c>
      <c r="ABV3" s="3" t="s">
        <v>15</v>
      </c>
      <c r="ABW3" s="3" t="s">
        <v>16</v>
      </c>
      <c r="ABX3" s="3" t="s">
        <v>17</v>
      </c>
      <c r="ABY3" s="3" t="s">
        <v>18</v>
      </c>
      <c r="ABZ3" s="3" t="s">
        <v>19</v>
      </c>
      <c r="ACA3" s="3" t="s">
        <v>20</v>
      </c>
      <c r="ACB3" s="3" t="s">
        <v>21</v>
      </c>
      <c r="ACC3" s="3" t="s">
        <v>22</v>
      </c>
      <c r="ACD3" s="3" t="s">
        <v>23</v>
      </c>
      <c r="ACE3" s="3" t="s">
        <v>24</v>
      </c>
      <c r="ACF3" s="3" t="s">
        <v>25</v>
      </c>
      <c r="ACG3" s="3" t="s">
        <v>26</v>
      </c>
      <c r="ACH3" s="3" t="s">
        <v>27</v>
      </c>
      <c r="ACI3" s="3" t="s">
        <v>28</v>
      </c>
      <c r="ACJ3" s="3" t="s">
        <v>29</v>
      </c>
      <c r="ACK3" s="3" t="s">
        <v>30</v>
      </c>
      <c r="ACL3" s="3" t="s">
        <v>31</v>
      </c>
      <c r="ACM3" s="3" t="s">
        <v>32</v>
      </c>
      <c r="ACN3" s="3" t="s">
        <v>33</v>
      </c>
      <c r="ACO3" s="3" t="s">
        <v>34</v>
      </c>
      <c r="ACP3" s="3" t="s">
        <v>11</v>
      </c>
      <c r="ACQ3" s="3" t="s">
        <v>12</v>
      </c>
      <c r="ACR3" s="3" t="s">
        <v>13</v>
      </c>
      <c r="ACS3" s="3" t="s">
        <v>14</v>
      </c>
      <c r="ACT3" s="3" t="s">
        <v>15</v>
      </c>
      <c r="ACU3" s="3" t="s">
        <v>16</v>
      </c>
      <c r="ACV3" s="3" t="s">
        <v>17</v>
      </c>
      <c r="ACW3" s="3" t="s">
        <v>18</v>
      </c>
      <c r="ACX3" s="3" t="s">
        <v>19</v>
      </c>
      <c r="ACY3" s="3" t="s">
        <v>20</v>
      </c>
      <c r="ACZ3" s="3" t="s">
        <v>21</v>
      </c>
      <c r="ADA3" s="3" t="s">
        <v>22</v>
      </c>
      <c r="ADB3" s="3" t="s">
        <v>23</v>
      </c>
      <c r="ADC3" s="3" t="s">
        <v>24</v>
      </c>
      <c r="ADD3" s="3" t="s">
        <v>25</v>
      </c>
      <c r="ADE3" s="3" t="s">
        <v>26</v>
      </c>
      <c r="ADF3" s="3" t="s">
        <v>27</v>
      </c>
      <c r="ADG3" s="3" t="s">
        <v>28</v>
      </c>
      <c r="ADH3" s="3" t="s">
        <v>29</v>
      </c>
      <c r="ADI3" s="3" t="s">
        <v>30</v>
      </c>
      <c r="ADJ3" s="3" t="s">
        <v>31</v>
      </c>
      <c r="ADK3" s="3" t="s">
        <v>32</v>
      </c>
      <c r="ADL3" s="3" t="s">
        <v>33</v>
      </c>
      <c r="ADM3" s="3" t="s">
        <v>34</v>
      </c>
      <c r="ADN3" s="3" t="s">
        <v>11</v>
      </c>
      <c r="ADO3" s="3" t="s">
        <v>12</v>
      </c>
      <c r="ADP3" s="3" t="s">
        <v>13</v>
      </c>
      <c r="ADQ3" s="3" t="s">
        <v>14</v>
      </c>
      <c r="ADR3" s="3" t="s">
        <v>15</v>
      </c>
      <c r="ADS3" s="3" t="s">
        <v>16</v>
      </c>
      <c r="ADT3" s="3" t="s">
        <v>17</v>
      </c>
      <c r="ADU3" s="3" t="s">
        <v>18</v>
      </c>
      <c r="ADV3" s="3" t="s">
        <v>19</v>
      </c>
      <c r="ADW3" s="3" t="s">
        <v>20</v>
      </c>
      <c r="ADX3" s="3" t="s">
        <v>21</v>
      </c>
      <c r="ADY3" s="3" t="s">
        <v>22</v>
      </c>
      <c r="ADZ3" s="3" t="s">
        <v>23</v>
      </c>
      <c r="AEA3" s="3" t="s">
        <v>24</v>
      </c>
      <c r="AEB3" s="3" t="s">
        <v>25</v>
      </c>
      <c r="AEC3" s="3" t="s">
        <v>26</v>
      </c>
      <c r="AED3" s="3" t="s">
        <v>27</v>
      </c>
      <c r="AEE3" s="3" t="s">
        <v>28</v>
      </c>
      <c r="AEF3" s="3" t="s">
        <v>29</v>
      </c>
      <c r="AEG3" s="3" t="s">
        <v>30</v>
      </c>
      <c r="AEH3" s="3" t="s">
        <v>31</v>
      </c>
      <c r="AEI3" s="3" t="s">
        <v>32</v>
      </c>
      <c r="AEJ3" s="3" t="s">
        <v>33</v>
      </c>
      <c r="AEK3" s="3" t="s">
        <v>34</v>
      </c>
    </row>
    <row r="4" spans="1:817" ht="15" customHeight="1" x14ac:dyDescent="0.25">
      <c r="A4" s="48" t="s">
        <v>35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6"/>
      <c r="BU4" s="6"/>
      <c r="BV4" s="6"/>
      <c r="BW4" s="6"/>
      <c r="BX4" s="6"/>
      <c r="BY4" s="6"/>
      <c r="BZ4" s="6"/>
      <c r="CA4" s="6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6"/>
      <c r="CS4" s="6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6"/>
      <c r="IG4" s="6"/>
      <c r="IH4" s="6"/>
      <c r="II4" s="6"/>
      <c r="IJ4" s="6"/>
      <c r="IK4" s="6"/>
      <c r="IL4" s="6"/>
      <c r="IM4" s="6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6"/>
      <c r="JE4" s="6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6"/>
      <c r="OS4" s="6"/>
      <c r="OT4" s="6"/>
      <c r="OU4" s="6"/>
      <c r="OV4" s="6"/>
      <c r="OW4" s="6"/>
      <c r="OX4" s="6"/>
      <c r="OY4" s="6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6"/>
      <c r="PQ4" s="6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6"/>
      <c r="VE4" s="6"/>
      <c r="VF4" s="6"/>
      <c r="VG4" s="6"/>
      <c r="VH4" s="6"/>
      <c r="VI4" s="6"/>
      <c r="VJ4" s="6"/>
      <c r="VK4" s="6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6"/>
      <c r="WC4" s="6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6"/>
      <c r="ABQ4" s="6"/>
      <c r="ABR4" s="6"/>
      <c r="ABS4" s="6"/>
      <c r="ABT4" s="6"/>
      <c r="ABU4" s="6"/>
      <c r="ABV4" s="6"/>
      <c r="ABW4" s="6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6"/>
      <c r="ACO4" s="6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</row>
    <row r="5" spans="1:817" x14ac:dyDescent="0.25">
      <c r="A5" s="40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6"/>
      <c r="BU5" s="6"/>
      <c r="BV5" s="6"/>
      <c r="BW5" s="6"/>
      <c r="BX5" s="6"/>
      <c r="BY5" s="6"/>
      <c r="BZ5" s="6"/>
      <c r="CA5" s="6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6"/>
      <c r="CS5" s="6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6"/>
      <c r="IG5" s="6"/>
      <c r="IH5" s="6"/>
      <c r="II5" s="6"/>
      <c r="IJ5" s="6"/>
      <c r="IK5" s="6"/>
      <c r="IL5" s="6"/>
      <c r="IM5" s="6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6"/>
      <c r="JE5" s="6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6"/>
      <c r="OS5" s="6"/>
      <c r="OT5" s="6"/>
      <c r="OU5" s="6"/>
      <c r="OV5" s="6"/>
      <c r="OW5" s="6"/>
      <c r="OX5" s="6"/>
      <c r="OY5" s="6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6"/>
      <c r="PQ5" s="6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6"/>
      <c r="VE5" s="6"/>
      <c r="VF5" s="6"/>
      <c r="VG5" s="6"/>
      <c r="VH5" s="6"/>
      <c r="VI5" s="6"/>
      <c r="VJ5" s="6"/>
      <c r="VK5" s="6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6"/>
      <c r="WC5" s="6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6"/>
      <c r="ABQ5" s="6"/>
      <c r="ABR5" s="6"/>
      <c r="ABS5" s="6"/>
      <c r="ABT5" s="6"/>
      <c r="ABU5" s="6"/>
      <c r="ABV5" s="6"/>
      <c r="ABW5" s="6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6"/>
      <c r="ACO5" s="6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</row>
    <row r="6" spans="1:817" x14ac:dyDescent="0.25">
      <c r="A6" s="40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6"/>
      <c r="BU6" s="6"/>
      <c r="BV6" s="6"/>
      <c r="BW6" s="6"/>
      <c r="BX6" s="6"/>
      <c r="BY6" s="6"/>
      <c r="BZ6" s="6"/>
      <c r="CA6" s="6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6"/>
      <c r="CS6" s="6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6"/>
      <c r="IG6" s="6"/>
      <c r="IH6" s="6"/>
      <c r="II6" s="6"/>
      <c r="IJ6" s="6"/>
      <c r="IK6" s="6"/>
      <c r="IL6" s="6"/>
      <c r="IM6" s="6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6"/>
      <c r="JE6" s="6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6"/>
      <c r="OS6" s="6"/>
      <c r="OT6" s="6"/>
      <c r="OU6" s="6"/>
      <c r="OV6" s="6"/>
      <c r="OW6" s="6"/>
      <c r="OX6" s="6"/>
      <c r="OY6" s="6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6"/>
      <c r="PQ6" s="6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6"/>
      <c r="VE6" s="6"/>
      <c r="VF6" s="6"/>
      <c r="VG6" s="6"/>
      <c r="VH6" s="6"/>
      <c r="VI6" s="6"/>
      <c r="VJ6" s="6"/>
      <c r="VK6" s="6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6"/>
      <c r="WC6" s="6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6"/>
      <c r="ABQ6" s="6"/>
      <c r="ABR6" s="6"/>
      <c r="ABS6" s="6"/>
      <c r="ABT6" s="6"/>
      <c r="ABU6" s="6"/>
      <c r="ABV6" s="6"/>
      <c r="ABW6" s="6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6"/>
      <c r="ACO6" s="6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</row>
    <row r="7" spans="1:817" x14ac:dyDescent="0.25">
      <c r="A7" s="40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6"/>
      <c r="BU7" s="6"/>
      <c r="BV7" s="6"/>
      <c r="BW7" s="6"/>
      <c r="BX7" s="6"/>
      <c r="BY7" s="6"/>
      <c r="BZ7" s="6"/>
      <c r="CA7" s="6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6"/>
      <c r="CS7" s="6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6"/>
      <c r="IG7" s="6"/>
      <c r="IH7" s="6"/>
      <c r="II7" s="6"/>
      <c r="IJ7" s="6"/>
      <c r="IK7" s="6"/>
      <c r="IL7" s="6"/>
      <c r="IM7" s="6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6"/>
      <c r="JE7" s="6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6"/>
      <c r="OS7" s="6"/>
      <c r="OT7" s="6"/>
      <c r="OU7" s="6"/>
      <c r="OV7" s="6"/>
      <c r="OW7" s="6"/>
      <c r="OX7" s="6"/>
      <c r="OY7" s="6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6"/>
      <c r="PQ7" s="6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6"/>
      <c r="VE7" s="6"/>
      <c r="VF7" s="6"/>
      <c r="VG7" s="6"/>
      <c r="VH7" s="6"/>
      <c r="VI7" s="6"/>
      <c r="VJ7" s="6"/>
      <c r="VK7" s="6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6"/>
      <c r="WC7" s="6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6"/>
      <c r="ABQ7" s="6"/>
      <c r="ABR7" s="6"/>
      <c r="ABS7" s="6"/>
      <c r="ABT7" s="6"/>
      <c r="ABU7" s="6"/>
      <c r="ABV7" s="6"/>
      <c r="ABW7" s="6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6"/>
      <c r="ACO7" s="6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</row>
    <row r="8" spans="1:817" ht="15" customHeight="1" x14ac:dyDescent="0.25">
      <c r="A8" s="49" t="s">
        <v>36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6"/>
      <c r="BU8" s="6"/>
      <c r="BV8" s="6"/>
      <c r="BW8" s="6"/>
      <c r="BX8" s="6"/>
      <c r="BY8" s="6"/>
      <c r="BZ8" s="6"/>
      <c r="CA8" s="6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6"/>
      <c r="CS8" s="6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6"/>
      <c r="IG8" s="6"/>
      <c r="IH8" s="6"/>
      <c r="II8" s="6"/>
      <c r="IJ8" s="6"/>
      <c r="IK8" s="6"/>
      <c r="IL8" s="6"/>
      <c r="IM8" s="6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6"/>
      <c r="JE8" s="6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6"/>
      <c r="OS8" s="6"/>
      <c r="OT8" s="6"/>
      <c r="OU8" s="6"/>
      <c r="OV8" s="6"/>
      <c r="OW8" s="6"/>
      <c r="OX8" s="6"/>
      <c r="OY8" s="6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6"/>
      <c r="PQ8" s="6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6"/>
      <c r="VE8" s="6"/>
      <c r="VF8" s="6"/>
      <c r="VG8" s="6"/>
      <c r="VH8" s="6"/>
      <c r="VI8" s="6"/>
      <c r="VJ8" s="6"/>
      <c r="VK8" s="6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6"/>
      <c r="WC8" s="6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  <c r="AAA8" s="4"/>
      <c r="AAB8" s="4"/>
      <c r="AAC8" s="4"/>
      <c r="AAD8" s="4"/>
      <c r="AAE8" s="4"/>
      <c r="AAF8" s="4"/>
      <c r="AAG8" s="4"/>
      <c r="AAH8" s="4"/>
      <c r="AAI8" s="4"/>
      <c r="AAJ8" s="4"/>
      <c r="AAK8" s="4"/>
      <c r="AAL8" s="4"/>
      <c r="AAM8" s="4"/>
      <c r="AAN8" s="4"/>
      <c r="AAO8" s="4"/>
      <c r="AAP8" s="4"/>
      <c r="AAQ8" s="4"/>
      <c r="AAR8" s="4"/>
      <c r="AAS8" s="4"/>
      <c r="AAT8" s="4"/>
      <c r="AAU8" s="4"/>
      <c r="AAV8" s="4"/>
      <c r="AAW8" s="4"/>
      <c r="AAX8" s="4"/>
      <c r="AAY8" s="4"/>
      <c r="AAZ8" s="4"/>
      <c r="ABA8" s="4"/>
      <c r="ABB8" s="4"/>
      <c r="ABC8" s="4"/>
      <c r="ABD8" s="4"/>
      <c r="ABE8" s="4"/>
      <c r="ABF8" s="4"/>
      <c r="ABG8" s="4"/>
      <c r="ABH8" s="4"/>
      <c r="ABI8" s="4"/>
      <c r="ABJ8" s="4"/>
      <c r="ABK8" s="4"/>
      <c r="ABL8" s="4"/>
      <c r="ABM8" s="4"/>
      <c r="ABN8" s="4"/>
      <c r="ABO8" s="4"/>
      <c r="ABP8" s="6"/>
      <c r="ABQ8" s="6"/>
      <c r="ABR8" s="6"/>
      <c r="ABS8" s="6"/>
      <c r="ABT8" s="6"/>
      <c r="ABU8" s="6"/>
      <c r="ABV8" s="6"/>
      <c r="ABW8" s="6"/>
      <c r="ABX8" s="4"/>
      <c r="ABY8" s="4"/>
      <c r="ABZ8" s="4"/>
      <c r="ACA8" s="4"/>
      <c r="ACB8" s="4"/>
      <c r="ACC8" s="4"/>
      <c r="ACD8" s="4"/>
      <c r="ACE8" s="4"/>
      <c r="ACF8" s="4"/>
      <c r="ACG8" s="4"/>
      <c r="ACH8" s="4"/>
      <c r="ACI8" s="4"/>
      <c r="ACJ8" s="4"/>
      <c r="ACK8" s="4"/>
      <c r="ACL8" s="4"/>
      <c r="ACM8" s="4"/>
      <c r="ACN8" s="6"/>
      <c r="ACO8" s="6"/>
      <c r="ACP8" s="4"/>
      <c r="ACQ8" s="4"/>
      <c r="ACR8" s="4"/>
      <c r="ACS8" s="4"/>
      <c r="ACT8" s="4"/>
      <c r="ACU8" s="4"/>
      <c r="ACV8" s="4"/>
      <c r="ACW8" s="4"/>
      <c r="ACX8" s="4"/>
      <c r="ACY8" s="4"/>
      <c r="ACZ8" s="4"/>
      <c r="ADA8" s="4"/>
      <c r="ADB8" s="4"/>
      <c r="ADC8" s="4"/>
      <c r="ADD8" s="4"/>
      <c r="ADE8" s="4"/>
      <c r="ADF8" s="4"/>
      <c r="ADG8" s="4"/>
      <c r="ADH8" s="4"/>
      <c r="ADI8" s="4"/>
      <c r="ADJ8" s="4"/>
      <c r="ADK8" s="4"/>
      <c r="ADL8" s="4"/>
      <c r="ADM8" s="4"/>
      <c r="ADN8" s="4"/>
      <c r="ADO8" s="4"/>
      <c r="ADP8" s="4"/>
      <c r="ADQ8" s="4"/>
      <c r="ADR8" s="4"/>
      <c r="ADS8" s="4"/>
      <c r="ADT8" s="4"/>
      <c r="ADU8" s="4"/>
      <c r="ADV8" s="4"/>
      <c r="ADW8" s="4"/>
      <c r="ADX8" s="4"/>
      <c r="ADY8" s="4"/>
      <c r="ADZ8" s="4"/>
      <c r="AEA8" s="4"/>
      <c r="AEB8" s="4"/>
      <c r="AEC8" s="4"/>
      <c r="AED8" s="4"/>
      <c r="AEE8" s="4"/>
      <c r="AEF8" s="4"/>
      <c r="AEG8" s="4"/>
      <c r="AEH8" s="4"/>
      <c r="AEI8" s="4"/>
      <c r="AEJ8" s="4"/>
      <c r="AEK8" s="4"/>
    </row>
    <row r="9" spans="1:817" x14ac:dyDescent="0.25">
      <c r="A9" s="40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6"/>
      <c r="BU9" s="6"/>
      <c r="BV9" s="6"/>
      <c r="BW9" s="6"/>
      <c r="BX9" s="6"/>
      <c r="BY9" s="6"/>
      <c r="BZ9" s="6"/>
      <c r="CA9" s="6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6"/>
      <c r="CS9" s="6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6"/>
      <c r="IG9" s="6"/>
      <c r="IH9" s="6"/>
      <c r="II9" s="6"/>
      <c r="IJ9" s="6"/>
      <c r="IK9" s="6"/>
      <c r="IL9" s="6"/>
      <c r="IM9" s="6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6"/>
      <c r="JE9" s="6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6"/>
      <c r="OS9" s="6"/>
      <c r="OT9" s="6"/>
      <c r="OU9" s="6"/>
      <c r="OV9" s="6"/>
      <c r="OW9" s="6"/>
      <c r="OX9" s="6"/>
      <c r="OY9" s="6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6"/>
      <c r="PQ9" s="6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6"/>
      <c r="VE9" s="6"/>
      <c r="VF9" s="6"/>
      <c r="VG9" s="6"/>
      <c r="VH9" s="6"/>
      <c r="VI9" s="6"/>
      <c r="VJ9" s="6"/>
      <c r="VK9" s="6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6"/>
      <c r="WC9" s="6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4"/>
      <c r="AAE9" s="4"/>
      <c r="AAF9" s="4"/>
      <c r="AAG9" s="4"/>
      <c r="AAH9" s="4"/>
      <c r="AAI9" s="4"/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4"/>
      <c r="ABH9" s="4"/>
      <c r="ABI9" s="4"/>
      <c r="ABJ9" s="4"/>
      <c r="ABK9" s="4"/>
      <c r="ABL9" s="4"/>
      <c r="ABM9" s="4"/>
      <c r="ABN9" s="4"/>
      <c r="ABO9" s="4"/>
      <c r="ABP9" s="6"/>
      <c r="ABQ9" s="6"/>
      <c r="ABR9" s="6"/>
      <c r="ABS9" s="6"/>
      <c r="ABT9" s="6"/>
      <c r="ABU9" s="6"/>
      <c r="ABV9" s="6"/>
      <c r="ABW9" s="6"/>
      <c r="ABX9" s="4"/>
      <c r="ABY9" s="4"/>
      <c r="ABZ9" s="4"/>
      <c r="ACA9" s="4"/>
      <c r="ACB9" s="4"/>
      <c r="ACC9" s="4"/>
      <c r="ACD9" s="4"/>
      <c r="ACE9" s="4"/>
      <c r="ACF9" s="4"/>
      <c r="ACG9" s="4"/>
      <c r="ACH9" s="4"/>
      <c r="ACI9" s="4"/>
      <c r="ACJ9" s="4"/>
      <c r="ACK9" s="4"/>
      <c r="ACL9" s="4"/>
      <c r="ACM9" s="4"/>
      <c r="ACN9" s="6"/>
      <c r="ACO9" s="6"/>
      <c r="ACP9" s="4"/>
      <c r="ACQ9" s="4"/>
      <c r="ACR9" s="4"/>
      <c r="ACS9" s="4"/>
      <c r="ACT9" s="4"/>
      <c r="ACU9" s="4"/>
      <c r="ACV9" s="4"/>
      <c r="ACW9" s="4"/>
      <c r="ACX9" s="4"/>
      <c r="ACY9" s="4"/>
      <c r="ACZ9" s="4"/>
      <c r="ADA9" s="4"/>
      <c r="ADB9" s="4"/>
      <c r="ADC9" s="4"/>
      <c r="ADD9" s="4"/>
      <c r="ADE9" s="4"/>
      <c r="ADF9" s="4"/>
      <c r="ADG9" s="4"/>
      <c r="ADH9" s="4"/>
      <c r="ADI9" s="4"/>
      <c r="ADJ9" s="4"/>
      <c r="ADK9" s="4"/>
      <c r="ADL9" s="4"/>
      <c r="ADM9" s="4"/>
      <c r="ADN9" s="4"/>
      <c r="ADO9" s="4"/>
      <c r="ADP9" s="4"/>
      <c r="ADQ9" s="4"/>
      <c r="ADR9" s="4"/>
      <c r="ADS9" s="4"/>
      <c r="ADT9" s="4"/>
      <c r="ADU9" s="4"/>
      <c r="ADV9" s="4"/>
      <c r="ADW9" s="4"/>
      <c r="ADX9" s="4"/>
      <c r="ADY9" s="4"/>
      <c r="ADZ9" s="4"/>
      <c r="AEA9" s="4"/>
      <c r="AEB9" s="4"/>
      <c r="AEC9" s="4"/>
      <c r="AED9" s="4"/>
      <c r="AEE9" s="4"/>
      <c r="AEF9" s="4"/>
      <c r="AEG9" s="4"/>
      <c r="AEH9" s="4"/>
      <c r="AEI9" s="4"/>
      <c r="AEJ9" s="4"/>
      <c r="AEK9" s="4"/>
    </row>
    <row r="10" spans="1:817" x14ac:dyDescent="0.25">
      <c r="A10" s="40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6"/>
      <c r="BU10" s="6"/>
      <c r="BV10" s="6"/>
      <c r="BW10" s="6"/>
      <c r="BX10" s="6"/>
      <c r="BY10" s="6"/>
      <c r="BZ10" s="6"/>
      <c r="CA10" s="6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6"/>
      <c r="CS10" s="6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6"/>
      <c r="IG10" s="6"/>
      <c r="IH10" s="6"/>
      <c r="II10" s="6"/>
      <c r="IJ10" s="6"/>
      <c r="IK10" s="6"/>
      <c r="IL10" s="6"/>
      <c r="IM10" s="6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6"/>
      <c r="JE10" s="6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6"/>
      <c r="OS10" s="6"/>
      <c r="OT10" s="6"/>
      <c r="OU10" s="6"/>
      <c r="OV10" s="6"/>
      <c r="OW10" s="6"/>
      <c r="OX10" s="6"/>
      <c r="OY10" s="6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6"/>
      <c r="PQ10" s="6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6"/>
      <c r="VE10" s="6"/>
      <c r="VF10" s="6"/>
      <c r="VG10" s="6"/>
      <c r="VH10" s="6"/>
      <c r="VI10" s="6"/>
      <c r="VJ10" s="6"/>
      <c r="VK10" s="6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6"/>
      <c r="WC10" s="6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  <c r="AAA10" s="4"/>
      <c r="AAB10" s="4"/>
      <c r="AAC10" s="4"/>
      <c r="AAD10" s="4"/>
      <c r="AAE10" s="4"/>
      <c r="AAF10" s="4"/>
      <c r="AAG10" s="4"/>
      <c r="AAH10" s="4"/>
      <c r="AAI10" s="4"/>
      <c r="AAJ10" s="4"/>
      <c r="AAK10" s="4"/>
      <c r="AAL10" s="4"/>
      <c r="AAM10" s="4"/>
      <c r="AAN10" s="4"/>
      <c r="AAO10" s="4"/>
      <c r="AAP10" s="4"/>
      <c r="AAQ10" s="4"/>
      <c r="AAR10" s="4"/>
      <c r="AAS10" s="4"/>
      <c r="AAT10" s="4"/>
      <c r="AAU10" s="4"/>
      <c r="AAV10" s="4"/>
      <c r="AAW10" s="4"/>
      <c r="AAX10" s="4"/>
      <c r="AAY10" s="4"/>
      <c r="AAZ10" s="4"/>
      <c r="ABA10" s="4"/>
      <c r="ABB10" s="4"/>
      <c r="ABC10" s="4"/>
      <c r="ABD10" s="4"/>
      <c r="ABE10" s="4"/>
      <c r="ABF10" s="4"/>
      <c r="ABG10" s="4"/>
      <c r="ABH10" s="4"/>
      <c r="ABI10" s="4"/>
      <c r="ABJ10" s="4"/>
      <c r="ABK10" s="4"/>
      <c r="ABL10" s="4"/>
      <c r="ABM10" s="4"/>
      <c r="ABN10" s="4"/>
      <c r="ABO10" s="4"/>
      <c r="ABP10" s="6"/>
      <c r="ABQ10" s="6"/>
      <c r="ABR10" s="6"/>
      <c r="ABS10" s="6"/>
      <c r="ABT10" s="6"/>
      <c r="ABU10" s="6"/>
      <c r="ABV10" s="6"/>
      <c r="ABW10" s="6"/>
      <c r="ABX10" s="4"/>
      <c r="ABY10" s="4"/>
      <c r="ABZ10" s="4"/>
      <c r="ACA10" s="4"/>
      <c r="ACB10" s="4"/>
      <c r="ACC10" s="4"/>
      <c r="ACD10" s="4"/>
      <c r="ACE10" s="4"/>
      <c r="ACF10" s="4"/>
      <c r="ACG10" s="4"/>
      <c r="ACH10" s="4"/>
      <c r="ACI10" s="4"/>
      <c r="ACJ10" s="4"/>
      <c r="ACK10" s="4"/>
      <c r="ACL10" s="4"/>
      <c r="ACM10" s="4"/>
      <c r="ACN10" s="6"/>
      <c r="ACO10" s="6"/>
      <c r="ACP10" s="4"/>
      <c r="ACQ10" s="4"/>
      <c r="ACR10" s="4"/>
      <c r="ACS10" s="4"/>
      <c r="ACT10" s="4"/>
      <c r="ACU10" s="4"/>
      <c r="ACV10" s="4"/>
      <c r="ACW10" s="4"/>
      <c r="ACX10" s="4"/>
      <c r="ACY10" s="4"/>
      <c r="ACZ10" s="4"/>
      <c r="ADA10" s="4"/>
      <c r="ADB10" s="4"/>
      <c r="ADC10" s="4"/>
      <c r="ADD10" s="4"/>
      <c r="ADE10" s="4"/>
      <c r="ADF10" s="4"/>
      <c r="ADG10" s="4"/>
      <c r="ADH10" s="4"/>
      <c r="ADI10" s="4"/>
      <c r="ADJ10" s="4"/>
      <c r="ADK10" s="4"/>
      <c r="ADL10" s="4"/>
      <c r="ADM10" s="4"/>
      <c r="ADN10" s="4"/>
      <c r="ADO10" s="4"/>
      <c r="ADP10" s="4"/>
      <c r="ADQ10" s="4"/>
      <c r="ADR10" s="4"/>
      <c r="ADS10" s="4"/>
      <c r="ADT10" s="4"/>
      <c r="ADU10" s="4"/>
      <c r="ADV10" s="4"/>
      <c r="ADW10" s="4"/>
      <c r="ADX10" s="4"/>
      <c r="ADY10" s="4"/>
      <c r="ADZ10" s="4"/>
      <c r="AEA10" s="4"/>
      <c r="AEB10" s="4"/>
      <c r="AEC10" s="4"/>
      <c r="AED10" s="4"/>
      <c r="AEE10" s="4"/>
      <c r="AEF10" s="4"/>
      <c r="AEG10" s="4"/>
      <c r="AEH10" s="4"/>
      <c r="AEI10" s="4"/>
      <c r="AEJ10" s="4"/>
      <c r="AEK10" s="4"/>
    </row>
    <row r="11" spans="1:817" x14ac:dyDescent="0.25">
      <c r="A11" s="40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6"/>
      <c r="BU11" s="6"/>
      <c r="BV11" s="6"/>
      <c r="BW11" s="6"/>
      <c r="BX11" s="6"/>
      <c r="BY11" s="6"/>
      <c r="BZ11" s="6"/>
      <c r="CA11" s="6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6"/>
      <c r="CS11" s="6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6"/>
      <c r="IG11" s="6"/>
      <c r="IH11" s="6"/>
      <c r="II11" s="6"/>
      <c r="IJ11" s="6"/>
      <c r="IK11" s="6"/>
      <c r="IL11" s="6"/>
      <c r="IM11" s="6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6"/>
      <c r="JE11" s="6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6"/>
      <c r="OS11" s="6"/>
      <c r="OT11" s="6"/>
      <c r="OU11" s="6"/>
      <c r="OV11" s="6"/>
      <c r="OW11" s="6"/>
      <c r="OX11" s="6"/>
      <c r="OY11" s="6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6"/>
      <c r="PQ11" s="6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6"/>
      <c r="VE11" s="6"/>
      <c r="VF11" s="6"/>
      <c r="VG11" s="6"/>
      <c r="VH11" s="6"/>
      <c r="VI11" s="6"/>
      <c r="VJ11" s="6"/>
      <c r="VK11" s="6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6"/>
      <c r="WC11" s="6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6"/>
      <c r="ABQ11" s="6"/>
      <c r="ABR11" s="6"/>
      <c r="ABS11" s="6"/>
      <c r="ABT11" s="6"/>
      <c r="ABU11" s="6"/>
      <c r="ABV11" s="6"/>
      <c r="ABW11" s="6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6"/>
      <c r="ACO11" s="6"/>
      <c r="ACP11" s="4"/>
      <c r="ACQ11" s="4"/>
      <c r="ACR11" s="4"/>
      <c r="ACS11" s="4"/>
      <c r="ACT11" s="4"/>
      <c r="ACU11" s="4"/>
      <c r="ACV11" s="4"/>
      <c r="ACW11" s="4"/>
      <c r="ACX11" s="4"/>
      <c r="ACY11" s="4"/>
      <c r="ACZ11" s="4"/>
      <c r="ADA11" s="4"/>
      <c r="ADB11" s="4"/>
      <c r="ADC11" s="4"/>
      <c r="ADD11" s="4"/>
      <c r="ADE11" s="4"/>
      <c r="ADF11" s="4"/>
      <c r="ADG11" s="4"/>
      <c r="ADH11" s="4"/>
      <c r="ADI11" s="4"/>
      <c r="ADJ11" s="4"/>
      <c r="ADK11" s="4"/>
      <c r="ADL11" s="4"/>
      <c r="ADM11" s="4"/>
      <c r="ADN11" s="4"/>
      <c r="ADO11" s="4"/>
      <c r="ADP11" s="4"/>
      <c r="ADQ11" s="4"/>
      <c r="ADR11" s="4"/>
      <c r="ADS11" s="4"/>
      <c r="ADT11" s="4"/>
      <c r="ADU11" s="4"/>
      <c r="ADV11" s="4"/>
      <c r="ADW11" s="4"/>
      <c r="ADX11" s="4"/>
      <c r="ADY11" s="4"/>
      <c r="ADZ11" s="4"/>
      <c r="AEA11" s="4"/>
      <c r="AEB11" s="4"/>
      <c r="AEC11" s="4"/>
      <c r="AED11" s="4"/>
      <c r="AEE11" s="4"/>
      <c r="AEF11" s="4"/>
      <c r="AEG11" s="4"/>
      <c r="AEH11" s="4"/>
      <c r="AEI11" s="4"/>
      <c r="AEJ11" s="4"/>
      <c r="AEK11" s="4"/>
    </row>
    <row r="12" spans="1:817" x14ac:dyDescent="0.25">
      <c r="A12" s="48" t="s">
        <v>37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6"/>
      <c r="BU12" s="6"/>
      <c r="BV12" s="6"/>
      <c r="BW12" s="6"/>
      <c r="BX12" s="6"/>
      <c r="BY12" s="6"/>
      <c r="BZ12" s="6"/>
      <c r="CA12" s="6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6"/>
      <c r="CS12" s="6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6"/>
      <c r="IG12" s="6"/>
      <c r="IH12" s="6"/>
      <c r="II12" s="6"/>
      <c r="IJ12" s="6"/>
      <c r="IK12" s="6"/>
      <c r="IL12" s="6"/>
      <c r="IM12" s="6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6"/>
      <c r="JE12" s="6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6"/>
      <c r="OS12" s="6"/>
      <c r="OT12" s="6"/>
      <c r="OU12" s="6"/>
      <c r="OV12" s="6"/>
      <c r="OW12" s="6"/>
      <c r="OX12" s="6"/>
      <c r="OY12" s="6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6"/>
      <c r="PQ12" s="6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6"/>
      <c r="VE12" s="6"/>
      <c r="VF12" s="6"/>
      <c r="VG12" s="6"/>
      <c r="VH12" s="6"/>
      <c r="VI12" s="6"/>
      <c r="VJ12" s="6"/>
      <c r="VK12" s="6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6"/>
      <c r="WC12" s="6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6"/>
      <c r="ABQ12" s="6"/>
      <c r="ABR12" s="6"/>
      <c r="ABS12" s="6"/>
      <c r="ABT12" s="6"/>
      <c r="ABU12" s="6"/>
      <c r="ABV12" s="6"/>
      <c r="ABW12" s="6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6"/>
      <c r="ACO12" s="6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</row>
    <row r="13" spans="1:817" x14ac:dyDescent="0.25">
      <c r="A13" s="40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6"/>
      <c r="BU13" s="6"/>
      <c r="BV13" s="6"/>
      <c r="BW13" s="6"/>
      <c r="BX13" s="6"/>
      <c r="BY13" s="6"/>
      <c r="BZ13" s="6"/>
      <c r="CA13" s="6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6"/>
      <c r="CS13" s="6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6"/>
      <c r="IG13" s="6"/>
      <c r="IH13" s="6"/>
      <c r="II13" s="6"/>
      <c r="IJ13" s="6"/>
      <c r="IK13" s="6"/>
      <c r="IL13" s="6"/>
      <c r="IM13" s="6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6"/>
      <c r="JE13" s="6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6"/>
      <c r="OS13" s="6"/>
      <c r="OT13" s="6"/>
      <c r="OU13" s="6"/>
      <c r="OV13" s="6"/>
      <c r="OW13" s="6"/>
      <c r="OX13" s="6"/>
      <c r="OY13" s="6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6"/>
      <c r="PQ13" s="6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6"/>
      <c r="VE13" s="6"/>
      <c r="VF13" s="6"/>
      <c r="VG13" s="6"/>
      <c r="VH13" s="6"/>
      <c r="VI13" s="6"/>
      <c r="VJ13" s="6"/>
      <c r="VK13" s="6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6"/>
      <c r="WC13" s="6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6"/>
      <c r="ABQ13" s="6"/>
      <c r="ABR13" s="6"/>
      <c r="ABS13" s="6"/>
      <c r="ABT13" s="6"/>
      <c r="ABU13" s="6"/>
      <c r="ABV13" s="6"/>
      <c r="ABW13" s="6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6"/>
      <c r="ACO13" s="6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</row>
    <row r="14" spans="1:817" x14ac:dyDescent="0.25">
      <c r="A14" s="40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6"/>
      <c r="BU14" s="6"/>
      <c r="BV14" s="6"/>
      <c r="BW14" s="6"/>
      <c r="BX14" s="6"/>
      <c r="BY14" s="6"/>
      <c r="BZ14" s="6"/>
      <c r="CA14" s="6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6"/>
      <c r="CS14" s="6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6"/>
      <c r="IG14" s="6"/>
      <c r="IH14" s="6"/>
      <c r="II14" s="6"/>
      <c r="IJ14" s="6"/>
      <c r="IK14" s="6"/>
      <c r="IL14" s="6"/>
      <c r="IM14" s="6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6"/>
      <c r="JE14" s="6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6"/>
      <c r="OS14" s="6"/>
      <c r="OT14" s="6"/>
      <c r="OU14" s="6"/>
      <c r="OV14" s="6"/>
      <c r="OW14" s="6"/>
      <c r="OX14" s="6"/>
      <c r="OY14" s="6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6"/>
      <c r="PQ14" s="6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6"/>
      <c r="VE14" s="6"/>
      <c r="VF14" s="6"/>
      <c r="VG14" s="6"/>
      <c r="VH14" s="6"/>
      <c r="VI14" s="6"/>
      <c r="VJ14" s="6"/>
      <c r="VK14" s="6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6"/>
      <c r="WC14" s="6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6"/>
      <c r="ABQ14" s="6"/>
      <c r="ABR14" s="6"/>
      <c r="ABS14" s="6"/>
      <c r="ABT14" s="6"/>
      <c r="ABU14" s="6"/>
      <c r="ABV14" s="6"/>
      <c r="ABW14" s="6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6"/>
      <c r="ACO14" s="6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</row>
    <row r="15" spans="1:817" x14ac:dyDescent="0.25">
      <c r="A15" s="40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6"/>
      <c r="BU15" s="6"/>
      <c r="BV15" s="6"/>
      <c r="BW15" s="6"/>
      <c r="BX15" s="6"/>
      <c r="BY15" s="6"/>
      <c r="BZ15" s="6"/>
      <c r="CA15" s="6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6"/>
      <c r="CS15" s="6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6"/>
      <c r="IG15" s="6"/>
      <c r="IH15" s="6"/>
      <c r="II15" s="6"/>
      <c r="IJ15" s="6"/>
      <c r="IK15" s="6"/>
      <c r="IL15" s="6"/>
      <c r="IM15" s="6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6"/>
      <c r="JE15" s="6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6"/>
      <c r="OS15" s="6"/>
      <c r="OT15" s="6"/>
      <c r="OU15" s="6"/>
      <c r="OV15" s="6"/>
      <c r="OW15" s="6"/>
      <c r="OX15" s="6"/>
      <c r="OY15" s="6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6"/>
      <c r="PQ15" s="6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6"/>
      <c r="VE15" s="6"/>
      <c r="VF15" s="6"/>
      <c r="VG15" s="6"/>
      <c r="VH15" s="6"/>
      <c r="VI15" s="6"/>
      <c r="VJ15" s="6"/>
      <c r="VK15" s="6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6"/>
      <c r="WC15" s="6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6"/>
      <c r="ABQ15" s="6"/>
      <c r="ABR15" s="6"/>
      <c r="ABS15" s="6"/>
      <c r="ABT15" s="6"/>
      <c r="ABU15" s="6"/>
      <c r="ABV15" s="6"/>
      <c r="ABW15" s="6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6"/>
      <c r="ACO15" s="6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</row>
    <row r="16" spans="1:817" ht="15" customHeight="1" x14ac:dyDescent="0.25">
      <c r="A16" s="49" t="s">
        <v>38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6"/>
      <c r="BU16" s="6"/>
      <c r="BV16" s="6"/>
      <c r="BW16" s="6"/>
      <c r="BX16" s="6"/>
      <c r="BY16" s="6"/>
      <c r="BZ16" s="6"/>
      <c r="CA16" s="6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6"/>
      <c r="CS16" s="6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6"/>
      <c r="IG16" s="6"/>
      <c r="IH16" s="6"/>
      <c r="II16" s="6"/>
      <c r="IJ16" s="6"/>
      <c r="IK16" s="6"/>
      <c r="IL16" s="6"/>
      <c r="IM16" s="6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6"/>
      <c r="JE16" s="6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6"/>
      <c r="OS16" s="6"/>
      <c r="OT16" s="6"/>
      <c r="OU16" s="6"/>
      <c r="OV16" s="6"/>
      <c r="OW16" s="6"/>
      <c r="OX16" s="6"/>
      <c r="OY16" s="6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6"/>
      <c r="PQ16" s="6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6"/>
      <c r="VE16" s="6"/>
      <c r="VF16" s="6"/>
      <c r="VG16" s="6"/>
      <c r="VH16" s="6"/>
      <c r="VI16" s="6"/>
      <c r="VJ16" s="6"/>
      <c r="VK16" s="6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6"/>
      <c r="WC16" s="6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6"/>
      <c r="ABQ16" s="6"/>
      <c r="ABR16" s="6"/>
      <c r="ABS16" s="6"/>
      <c r="ABT16" s="6"/>
      <c r="ABU16" s="6"/>
      <c r="ABV16" s="6"/>
      <c r="ABW16" s="6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6"/>
      <c r="ACO16" s="6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</row>
    <row r="17" spans="1:817" x14ac:dyDescent="0.25">
      <c r="A17" s="40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6"/>
      <c r="BU17" s="6"/>
      <c r="BV17" s="6"/>
      <c r="BW17" s="6"/>
      <c r="BX17" s="6"/>
      <c r="BY17" s="6"/>
      <c r="BZ17" s="6"/>
      <c r="CA17" s="6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6"/>
      <c r="CS17" s="6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6"/>
      <c r="IG17" s="6"/>
      <c r="IH17" s="6"/>
      <c r="II17" s="6"/>
      <c r="IJ17" s="6"/>
      <c r="IK17" s="6"/>
      <c r="IL17" s="6"/>
      <c r="IM17" s="6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6"/>
      <c r="JE17" s="6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6"/>
      <c r="OS17" s="6"/>
      <c r="OT17" s="6"/>
      <c r="OU17" s="6"/>
      <c r="OV17" s="6"/>
      <c r="OW17" s="6"/>
      <c r="OX17" s="6"/>
      <c r="OY17" s="6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6"/>
      <c r="PQ17" s="6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6"/>
      <c r="VE17" s="6"/>
      <c r="VF17" s="6"/>
      <c r="VG17" s="6"/>
      <c r="VH17" s="6"/>
      <c r="VI17" s="6"/>
      <c r="VJ17" s="6"/>
      <c r="VK17" s="6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6"/>
      <c r="WC17" s="6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6"/>
      <c r="ABQ17" s="6"/>
      <c r="ABR17" s="6"/>
      <c r="ABS17" s="6"/>
      <c r="ABT17" s="6"/>
      <c r="ABU17" s="6"/>
      <c r="ABV17" s="6"/>
      <c r="ABW17" s="6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6"/>
      <c r="ACO17" s="6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</row>
    <row r="18" spans="1:817" x14ac:dyDescent="0.25">
      <c r="A18" s="40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6"/>
      <c r="BU18" s="6"/>
      <c r="BV18" s="6"/>
      <c r="BW18" s="6"/>
      <c r="BX18" s="6"/>
      <c r="BY18" s="6"/>
      <c r="BZ18" s="6"/>
      <c r="CA18" s="6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6"/>
      <c r="CS18" s="6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6"/>
      <c r="IG18" s="6"/>
      <c r="IH18" s="6"/>
      <c r="II18" s="6"/>
      <c r="IJ18" s="6"/>
      <c r="IK18" s="6"/>
      <c r="IL18" s="6"/>
      <c r="IM18" s="6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6"/>
      <c r="JE18" s="6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6"/>
      <c r="OS18" s="6"/>
      <c r="OT18" s="6"/>
      <c r="OU18" s="6"/>
      <c r="OV18" s="6"/>
      <c r="OW18" s="6"/>
      <c r="OX18" s="6"/>
      <c r="OY18" s="6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6"/>
      <c r="PQ18" s="6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6"/>
      <c r="VE18" s="6"/>
      <c r="VF18" s="6"/>
      <c r="VG18" s="6"/>
      <c r="VH18" s="6"/>
      <c r="VI18" s="6"/>
      <c r="VJ18" s="6"/>
      <c r="VK18" s="6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6"/>
      <c r="WC18" s="6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  <c r="AAA18" s="4"/>
      <c r="AAB18" s="4"/>
      <c r="AAC18" s="4"/>
      <c r="AAD18" s="4"/>
      <c r="AAE18" s="4"/>
      <c r="AAF18" s="4"/>
      <c r="AAG18" s="4"/>
      <c r="AAH18" s="4"/>
      <c r="AAI18" s="4"/>
      <c r="AAJ18" s="4"/>
      <c r="AAK18" s="4"/>
      <c r="AAL18" s="4"/>
      <c r="AAM18" s="4"/>
      <c r="AAN18" s="4"/>
      <c r="AAO18" s="4"/>
      <c r="AAP18" s="4"/>
      <c r="AAQ18" s="4"/>
      <c r="AAR18" s="4"/>
      <c r="AAS18" s="4"/>
      <c r="AAT18" s="4"/>
      <c r="AAU18" s="4"/>
      <c r="AAV18" s="4"/>
      <c r="AAW18" s="4"/>
      <c r="AAX18" s="4"/>
      <c r="AAY18" s="4"/>
      <c r="AAZ18" s="4"/>
      <c r="ABA18" s="4"/>
      <c r="ABB18" s="4"/>
      <c r="ABC18" s="4"/>
      <c r="ABD18" s="4"/>
      <c r="ABE18" s="4"/>
      <c r="ABF18" s="4"/>
      <c r="ABG18" s="4"/>
      <c r="ABH18" s="4"/>
      <c r="ABI18" s="4"/>
      <c r="ABJ18" s="4"/>
      <c r="ABK18" s="4"/>
      <c r="ABL18" s="4"/>
      <c r="ABM18" s="4"/>
      <c r="ABN18" s="4"/>
      <c r="ABO18" s="4"/>
      <c r="ABP18" s="6"/>
      <c r="ABQ18" s="6"/>
      <c r="ABR18" s="6"/>
      <c r="ABS18" s="6"/>
      <c r="ABT18" s="6"/>
      <c r="ABU18" s="6"/>
      <c r="ABV18" s="6"/>
      <c r="ABW18" s="6"/>
      <c r="ABX18" s="4"/>
      <c r="ABY18" s="4"/>
      <c r="ABZ18" s="4"/>
      <c r="ACA18" s="4"/>
      <c r="ACB18" s="4"/>
      <c r="ACC18" s="4"/>
      <c r="ACD18" s="4"/>
      <c r="ACE18" s="4"/>
      <c r="ACF18" s="4"/>
      <c r="ACG18" s="4"/>
      <c r="ACH18" s="4"/>
      <c r="ACI18" s="4"/>
      <c r="ACJ18" s="4"/>
      <c r="ACK18" s="4"/>
      <c r="ACL18" s="4"/>
      <c r="ACM18" s="4"/>
      <c r="ACN18" s="6"/>
      <c r="ACO18" s="6"/>
      <c r="ACP18" s="4"/>
      <c r="ACQ18" s="4"/>
      <c r="ACR18" s="4"/>
      <c r="ACS18" s="4"/>
      <c r="ACT18" s="4"/>
      <c r="ACU18" s="4"/>
      <c r="ACV18" s="4"/>
      <c r="ACW18" s="4"/>
      <c r="ACX18" s="4"/>
      <c r="ACY18" s="4"/>
      <c r="ACZ18" s="4"/>
      <c r="ADA18" s="4"/>
      <c r="ADB18" s="4"/>
      <c r="ADC18" s="4"/>
      <c r="ADD18" s="4"/>
      <c r="ADE18" s="4"/>
      <c r="ADF18" s="4"/>
      <c r="ADG18" s="4"/>
      <c r="ADH18" s="4"/>
      <c r="ADI18" s="4"/>
      <c r="ADJ18" s="4"/>
      <c r="ADK18" s="4"/>
      <c r="ADL18" s="4"/>
      <c r="ADM18" s="4"/>
      <c r="ADN18" s="4"/>
      <c r="ADO18" s="4"/>
      <c r="ADP18" s="4"/>
      <c r="ADQ18" s="4"/>
      <c r="ADR18" s="4"/>
      <c r="ADS18" s="4"/>
      <c r="ADT18" s="4"/>
      <c r="ADU18" s="4"/>
      <c r="ADV18" s="4"/>
      <c r="ADW18" s="4"/>
      <c r="ADX18" s="4"/>
      <c r="ADY18" s="4"/>
      <c r="ADZ18" s="4"/>
      <c r="AEA18" s="4"/>
      <c r="AEB18" s="4"/>
      <c r="AEC18" s="4"/>
      <c r="AED18" s="4"/>
      <c r="AEE18" s="4"/>
      <c r="AEF18" s="4"/>
      <c r="AEG18" s="4"/>
      <c r="AEH18" s="4"/>
      <c r="AEI18" s="4"/>
      <c r="AEJ18" s="4"/>
      <c r="AEK18" s="4"/>
    </row>
    <row r="19" spans="1:817" x14ac:dyDescent="0.25">
      <c r="A19" s="40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6"/>
      <c r="BU19" s="6"/>
      <c r="BV19" s="6"/>
      <c r="BW19" s="6"/>
      <c r="BX19" s="6"/>
      <c r="BY19" s="6"/>
      <c r="BZ19" s="6"/>
      <c r="CA19" s="6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6"/>
      <c r="CS19" s="6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6"/>
      <c r="IG19" s="6"/>
      <c r="IH19" s="6"/>
      <c r="II19" s="6"/>
      <c r="IJ19" s="6"/>
      <c r="IK19" s="6"/>
      <c r="IL19" s="6"/>
      <c r="IM19" s="6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6"/>
      <c r="JE19" s="6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6"/>
      <c r="OS19" s="6"/>
      <c r="OT19" s="6"/>
      <c r="OU19" s="6"/>
      <c r="OV19" s="6"/>
      <c r="OW19" s="6"/>
      <c r="OX19" s="6"/>
      <c r="OY19" s="6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6"/>
      <c r="PQ19" s="6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6"/>
      <c r="VE19" s="6"/>
      <c r="VF19" s="6"/>
      <c r="VG19" s="6"/>
      <c r="VH19" s="6"/>
      <c r="VI19" s="6"/>
      <c r="VJ19" s="6"/>
      <c r="VK19" s="6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6"/>
      <c r="WC19" s="6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  <c r="AAA19" s="4"/>
      <c r="AAB19" s="4"/>
      <c r="AAC19" s="4"/>
      <c r="AAD19" s="4"/>
      <c r="AAE19" s="4"/>
      <c r="AAF19" s="4"/>
      <c r="AAG19" s="4"/>
      <c r="AAH19" s="4"/>
      <c r="AAI19" s="4"/>
      <c r="AAJ19" s="4"/>
      <c r="AAK19" s="4"/>
      <c r="AAL19" s="4"/>
      <c r="AAM19" s="4"/>
      <c r="AAN19" s="4"/>
      <c r="AAO19" s="4"/>
      <c r="AAP19" s="4"/>
      <c r="AAQ19" s="4"/>
      <c r="AAR19" s="4"/>
      <c r="AAS19" s="4"/>
      <c r="AAT19" s="4"/>
      <c r="AAU19" s="4"/>
      <c r="AAV19" s="4"/>
      <c r="AAW19" s="4"/>
      <c r="AAX19" s="4"/>
      <c r="AAY19" s="4"/>
      <c r="AAZ19" s="4"/>
      <c r="ABA19" s="4"/>
      <c r="ABB19" s="4"/>
      <c r="ABC19" s="4"/>
      <c r="ABD19" s="4"/>
      <c r="ABE19" s="4"/>
      <c r="ABF19" s="4"/>
      <c r="ABG19" s="4"/>
      <c r="ABH19" s="4"/>
      <c r="ABI19" s="4"/>
      <c r="ABJ19" s="4"/>
      <c r="ABK19" s="4"/>
      <c r="ABL19" s="4"/>
      <c r="ABM19" s="4"/>
      <c r="ABN19" s="4"/>
      <c r="ABO19" s="4"/>
      <c r="ABP19" s="6"/>
      <c r="ABQ19" s="6"/>
      <c r="ABR19" s="6"/>
      <c r="ABS19" s="6"/>
      <c r="ABT19" s="6"/>
      <c r="ABU19" s="6"/>
      <c r="ABV19" s="6"/>
      <c r="ABW19" s="6"/>
      <c r="ABX19" s="4"/>
      <c r="ABY19" s="4"/>
      <c r="ABZ19" s="4"/>
      <c r="ACA19" s="4"/>
      <c r="ACB19" s="4"/>
      <c r="ACC19" s="4"/>
      <c r="ACD19" s="4"/>
      <c r="ACE19" s="4"/>
      <c r="ACF19" s="4"/>
      <c r="ACG19" s="4"/>
      <c r="ACH19" s="4"/>
      <c r="ACI19" s="4"/>
      <c r="ACJ19" s="4"/>
      <c r="ACK19" s="4"/>
      <c r="ACL19" s="4"/>
      <c r="ACM19" s="4"/>
      <c r="ACN19" s="6"/>
      <c r="ACO19" s="6"/>
      <c r="ACP19" s="4"/>
      <c r="ACQ19" s="4"/>
      <c r="ACR19" s="4"/>
      <c r="ACS19" s="4"/>
      <c r="ACT19" s="4"/>
      <c r="ACU19" s="4"/>
      <c r="ACV19" s="4"/>
      <c r="ACW19" s="4"/>
      <c r="ACX19" s="4"/>
      <c r="ACY19" s="4"/>
      <c r="ACZ19" s="4"/>
      <c r="ADA19" s="4"/>
      <c r="ADB19" s="4"/>
      <c r="ADC19" s="4"/>
      <c r="ADD19" s="4"/>
      <c r="ADE19" s="4"/>
      <c r="ADF19" s="4"/>
      <c r="ADG19" s="4"/>
      <c r="ADH19" s="4"/>
      <c r="ADI19" s="4"/>
      <c r="ADJ19" s="4"/>
      <c r="ADK19" s="4"/>
      <c r="ADL19" s="4"/>
      <c r="ADM19" s="4"/>
      <c r="ADN19" s="4"/>
      <c r="ADO19" s="4"/>
      <c r="ADP19" s="4"/>
      <c r="ADQ19" s="4"/>
      <c r="ADR19" s="4"/>
      <c r="ADS19" s="4"/>
      <c r="ADT19" s="4"/>
      <c r="ADU19" s="4"/>
      <c r="ADV19" s="4"/>
      <c r="ADW19" s="4"/>
      <c r="ADX19" s="4"/>
      <c r="ADY19" s="4"/>
      <c r="ADZ19" s="4"/>
      <c r="AEA19" s="4"/>
      <c r="AEB19" s="4"/>
      <c r="AEC19" s="4"/>
      <c r="AED19" s="4"/>
      <c r="AEE19" s="4"/>
      <c r="AEF19" s="4"/>
      <c r="AEG19" s="4"/>
      <c r="AEH19" s="4"/>
      <c r="AEI19" s="4"/>
      <c r="AEJ19" s="4"/>
      <c r="AEK19" s="4"/>
    </row>
    <row r="20" spans="1:817" x14ac:dyDescent="0.25">
      <c r="A20" s="48" t="s">
        <v>39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6"/>
      <c r="BU20" s="6"/>
      <c r="BV20" s="6"/>
      <c r="BW20" s="6"/>
      <c r="BX20" s="6"/>
      <c r="BY20" s="6"/>
      <c r="BZ20" s="6"/>
      <c r="CA20" s="6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6"/>
      <c r="CS20" s="6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6"/>
      <c r="IG20" s="6"/>
      <c r="IH20" s="6"/>
      <c r="II20" s="6"/>
      <c r="IJ20" s="6"/>
      <c r="IK20" s="6"/>
      <c r="IL20" s="6"/>
      <c r="IM20" s="6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6"/>
      <c r="JE20" s="6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6"/>
      <c r="OS20" s="6"/>
      <c r="OT20" s="6"/>
      <c r="OU20" s="6"/>
      <c r="OV20" s="6"/>
      <c r="OW20" s="6"/>
      <c r="OX20" s="6"/>
      <c r="OY20" s="6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6"/>
      <c r="PQ20" s="6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6"/>
      <c r="VE20" s="6"/>
      <c r="VF20" s="6"/>
      <c r="VG20" s="6"/>
      <c r="VH20" s="6"/>
      <c r="VI20" s="6"/>
      <c r="VJ20" s="6"/>
      <c r="VK20" s="6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6"/>
      <c r="WC20" s="6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  <c r="AAA20" s="4"/>
      <c r="AAB20" s="4"/>
      <c r="AAC20" s="4"/>
      <c r="AAD20" s="4"/>
      <c r="AAE20" s="4"/>
      <c r="AAF20" s="4"/>
      <c r="AAG20" s="4"/>
      <c r="AAH20" s="4"/>
      <c r="AAI20" s="4"/>
      <c r="AAJ20" s="4"/>
      <c r="AAK20" s="4"/>
      <c r="AAL20" s="4"/>
      <c r="AAM20" s="4"/>
      <c r="AAN20" s="4"/>
      <c r="AAO20" s="4"/>
      <c r="AAP20" s="4"/>
      <c r="AAQ20" s="4"/>
      <c r="AAR20" s="4"/>
      <c r="AAS20" s="4"/>
      <c r="AAT20" s="4"/>
      <c r="AAU20" s="4"/>
      <c r="AAV20" s="4"/>
      <c r="AAW20" s="4"/>
      <c r="AAX20" s="4"/>
      <c r="AAY20" s="4"/>
      <c r="AAZ20" s="4"/>
      <c r="ABA20" s="4"/>
      <c r="ABB20" s="4"/>
      <c r="ABC20" s="4"/>
      <c r="ABD20" s="4"/>
      <c r="ABE20" s="4"/>
      <c r="ABF20" s="4"/>
      <c r="ABG20" s="4"/>
      <c r="ABH20" s="4"/>
      <c r="ABI20" s="4"/>
      <c r="ABJ20" s="4"/>
      <c r="ABK20" s="4"/>
      <c r="ABL20" s="4"/>
      <c r="ABM20" s="4"/>
      <c r="ABN20" s="4"/>
      <c r="ABO20" s="4"/>
      <c r="ABP20" s="6"/>
      <c r="ABQ20" s="6"/>
      <c r="ABR20" s="6"/>
      <c r="ABS20" s="6"/>
      <c r="ABT20" s="6"/>
      <c r="ABU20" s="6"/>
      <c r="ABV20" s="6"/>
      <c r="ABW20" s="6"/>
      <c r="ABX20" s="4"/>
      <c r="ABY20" s="4"/>
      <c r="ABZ20" s="4"/>
      <c r="ACA20" s="4"/>
      <c r="ACB20" s="4"/>
      <c r="ACC20" s="4"/>
      <c r="ACD20" s="4"/>
      <c r="ACE20" s="4"/>
      <c r="ACF20" s="4"/>
      <c r="ACG20" s="4"/>
      <c r="ACH20" s="4"/>
      <c r="ACI20" s="4"/>
      <c r="ACJ20" s="4"/>
      <c r="ACK20" s="4"/>
      <c r="ACL20" s="4"/>
      <c r="ACM20" s="4"/>
      <c r="ACN20" s="6"/>
      <c r="ACO20" s="6"/>
      <c r="ACP20" s="4"/>
      <c r="ACQ20" s="4"/>
      <c r="ACR20" s="4"/>
      <c r="ACS20" s="4"/>
      <c r="ACT20" s="4"/>
      <c r="ACU20" s="4"/>
      <c r="ACV20" s="4"/>
      <c r="ACW20" s="4"/>
      <c r="ACX20" s="4"/>
      <c r="ACY20" s="4"/>
      <c r="ACZ20" s="4"/>
      <c r="ADA20" s="4"/>
      <c r="ADB20" s="4"/>
      <c r="ADC20" s="4"/>
      <c r="ADD20" s="4"/>
      <c r="ADE20" s="4"/>
      <c r="ADF20" s="4"/>
      <c r="ADG20" s="4"/>
      <c r="ADH20" s="4"/>
      <c r="ADI20" s="4"/>
      <c r="ADJ20" s="4"/>
      <c r="ADK20" s="4"/>
      <c r="ADL20" s="4"/>
      <c r="ADM20" s="4"/>
      <c r="ADN20" s="4"/>
      <c r="ADO20" s="4"/>
      <c r="ADP20" s="4"/>
      <c r="ADQ20" s="4"/>
      <c r="ADR20" s="4"/>
      <c r="ADS20" s="4"/>
      <c r="ADT20" s="4"/>
      <c r="ADU20" s="4"/>
      <c r="ADV20" s="4"/>
      <c r="ADW20" s="4"/>
      <c r="ADX20" s="4"/>
      <c r="ADY20" s="4"/>
      <c r="ADZ20" s="4"/>
      <c r="AEA20" s="4"/>
      <c r="AEB20" s="4"/>
      <c r="AEC20" s="4"/>
      <c r="AED20" s="4"/>
      <c r="AEE20" s="4"/>
      <c r="AEF20" s="4"/>
      <c r="AEG20" s="4"/>
      <c r="AEH20" s="4"/>
      <c r="AEI20" s="4"/>
      <c r="AEJ20" s="4"/>
      <c r="AEK20" s="4"/>
    </row>
    <row r="21" spans="1:817" x14ac:dyDescent="0.25">
      <c r="A21" s="40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6"/>
      <c r="BU21" s="6"/>
      <c r="BV21" s="6"/>
      <c r="BW21" s="6"/>
      <c r="BX21" s="6"/>
      <c r="BY21" s="6"/>
      <c r="BZ21" s="6"/>
      <c r="CA21" s="6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6"/>
      <c r="CS21" s="6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6"/>
      <c r="IG21" s="6"/>
      <c r="IH21" s="6"/>
      <c r="II21" s="6"/>
      <c r="IJ21" s="6"/>
      <c r="IK21" s="6"/>
      <c r="IL21" s="6"/>
      <c r="IM21" s="6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6"/>
      <c r="JE21" s="6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6"/>
      <c r="OS21" s="6"/>
      <c r="OT21" s="6"/>
      <c r="OU21" s="6"/>
      <c r="OV21" s="6"/>
      <c r="OW21" s="6"/>
      <c r="OX21" s="6"/>
      <c r="OY21" s="6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6"/>
      <c r="PQ21" s="6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6"/>
      <c r="VE21" s="6"/>
      <c r="VF21" s="6"/>
      <c r="VG21" s="6"/>
      <c r="VH21" s="6"/>
      <c r="VI21" s="6"/>
      <c r="VJ21" s="6"/>
      <c r="VK21" s="6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6"/>
      <c r="WC21" s="6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  <c r="AAA21" s="4"/>
      <c r="AAB21" s="4"/>
      <c r="AAC21" s="4"/>
      <c r="AAD21" s="4"/>
      <c r="AAE21" s="4"/>
      <c r="AAF21" s="4"/>
      <c r="AAG21" s="4"/>
      <c r="AAH21" s="4"/>
      <c r="AAI21" s="4"/>
      <c r="AAJ21" s="4"/>
      <c r="AAK21" s="4"/>
      <c r="AAL21" s="4"/>
      <c r="AAM21" s="4"/>
      <c r="AAN21" s="4"/>
      <c r="AAO21" s="4"/>
      <c r="AAP21" s="4"/>
      <c r="AAQ21" s="4"/>
      <c r="AAR21" s="4"/>
      <c r="AAS21" s="4"/>
      <c r="AAT21" s="4"/>
      <c r="AAU21" s="4"/>
      <c r="AAV21" s="4"/>
      <c r="AAW21" s="4"/>
      <c r="AAX21" s="4"/>
      <c r="AAY21" s="4"/>
      <c r="AAZ21" s="4"/>
      <c r="ABA21" s="4"/>
      <c r="ABB21" s="4"/>
      <c r="ABC21" s="4"/>
      <c r="ABD21" s="4"/>
      <c r="ABE21" s="4"/>
      <c r="ABF21" s="4"/>
      <c r="ABG21" s="4"/>
      <c r="ABH21" s="4"/>
      <c r="ABI21" s="4"/>
      <c r="ABJ21" s="4"/>
      <c r="ABK21" s="4"/>
      <c r="ABL21" s="4"/>
      <c r="ABM21" s="4"/>
      <c r="ABN21" s="4"/>
      <c r="ABO21" s="4"/>
      <c r="ABP21" s="6"/>
      <c r="ABQ21" s="6"/>
      <c r="ABR21" s="6"/>
      <c r="ABS21" s="6"/>
      <c r="ABT21" s="6"/>
      <c r="ABU21" s="6"/>
      <c r="ABV21" s="6"/>
      <c r="ABW21" s="6"/>
      <c r="ABX21" s="4"/>
      <c r="ABY21" s="4"/>
      <c r="ABZ21" s="4"/>
      <c r="ACA21" s="4"/>
      <c r="ACB21" s="4"/>
      <c r="ACC21" s="4"/>
      <c r="ACD21" s="4"/>
      <c r="ACE21" s="4"/>
      <c r="ACF21" s="4"/>
      <c r="ACG21" s="4"/>
      <c r="ACH21" s="4"/>
      <c r="ACI21" s="4"/>
      <c r="ACJ21" s="4"/>
      <c r="ACK21" s="4"/>
      <c r="ACL21" s="4"/>
      <c r="ACM21" s="4"/>
      <c r="ACN21" s="6"/>
      <c r="ACO21" s="6"/>
      <c r="ACP21" s="4"/>
      <c r="ACQ21" s="4"/>
      <c r="ACR21" s="4"/>
      <c r="ACS21" s="4"/>
      <c r="ACT21" s="4"/>
      <c r="ACU21" s="4"/>
      <c r="ACV21" s="4"/>
      <c r="ACW21" s="4"/>
      <c r="ACX21" s="4"/>
      <c r="ACY21" s="4"/>
      <c r="ACZ21" s="4"/>
      <c r="ADA21" s="4"/>
      <c r="ADB21" s="4"/>
      <c r="ADC21" s="4"/>
      <c r="ADD21" s="4"/>
      <c r="ADE21" s="4"/>
      <c r="ADF21" s="4"/>
      <c r="ADG21" s="4"/>
      <c r="ADH21" s="4"/>
      <c r="ADI21" s="4"/>
      <c r="ADJ21" s="4"/>
      <c r="ADK21" s="4"/>
      <c r="ADL21" s="4"/>
      <c r="ADM21" s="4"/>
      <c r="ADN21" s="4"/>
      <c r="ADO21" s="4"/>
      <c r="ADP21" s="4"/>
      <c r="ADQ21" s="4"/>
      <c r="ADR21" s="4"/>
      <c r="ADS21" s="4"/>
      <c r="ADT21" s="4"/>
      <c r="ADU21" s="4"/>
      <c r="ADV21" s="4"/>
      <c r="ADW21" s="4"/>
      <c r="ADX21" s="4"/>
      <c r="ADY21" s="4"/>
      <c r="ADZ21" s="4"/>
      <c r="AEA21" s="4"/>
      <c r="AEB21" s="4"/>
      <c r="AEC21" s="4"/>
      <c r="AED21" s="4"/>
      <c r="AEE21" s="4"/>
      <c r="AEF21" s="4"/>
      <c r="AEG21" s="4"/>
      <c r="AEH21" s="4"/>
      <c r="AEI21" s="4"/>
      <c r="AEJ21" s="4"/>
      <c r="AEK21" s="4"/>
    </row>
    <row r="22" spans="1:817" x14ac:dyDescent="0.25">
      <c r="A22" s="40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6"/>
      <c r="BU22" s="6"/>
      <c r="BV22" s="6"/>
      <c r="BW22" s="6"/>
      <c r="BX22" s="6"/>
      <c r="BY22" s="6"/>
      <c r="BZ22" s="6"/>
      <c r="CA22" s="6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6"/>
      <c r="CS22" s="6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6"/>
      <c r="IG22" s="6"/>
      <c r="IH22" s="6"/>
      <c r="II22" s="6"/>
      <c r="IJ22" s="6"/>
      <c r="IK22" s="6"/>
      <c r="IL22" s="6"/>
      <c r="IM22" s="6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6"/>
      <c r="JE22" s="6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6"/>
      <c r="OS22" s="6"/>
      <c r="OT22" s="6"/>
      <c r="OU22" s="6"/>
      <c r="OV22" s="6"/>
      <c r="OW22" s="6"/>
      <c r="OX22" s="6"/>
      <c r="OY22" s="6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6"/>
      <c r="PQ22" s="6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6"/>
      <c r="VE22" s="6"/>
      <c r="VF22" s="6"/>
      <c r="VG22" s="6"/>
      <c r="VH22" s="6"/>
      <c r="VI22" s="6"/>
      <c r="VJ22" s="6"/>
      <c r="VK22" s="6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6"/>
      <c r="WC22" s="6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  <c r="AAA22" s="4"/>
      <c r="AAB22" s="4"/>
      <c r="AAC22" s="4"/>
      <c r="AAD22" s="4"/>
      <c r="AAE22" s="4"/>
      <c r="AAF22" s="4"/>
      <c r="AAG22" s="4"/>
      <c r="AAH22" s="4"/>
      <c r="AAI22" s="4"/>
      <c r="AAJ22" s="4"/>
      <c r="AAK22" s="4"/>
      <c r="AAL22" s="4"/>
      <c r="AAM22" s="4"/>
      <c r="AAN22" s="4"/>
      <c r="AAO22" s="4"/>
      <c r="AAP22" s="4"/>
      <c r="AAQ22" s="4"/>
      <c r="AAR22" s="4"/>
      <c r="AAS22" s="4"/>
      <c r="AAT22" s="4"/>
      <c r="AAU22" s="4"/>
      <c r="AAV22" s="4"/>
      <c r="AAW22" s="4"/>
      <c r="AAX22" s="4"/>
      <c r="AAY22" s="4"/>
      <c r="AAZ22" s="4"/>
      <c r="ABA22" s="4"/>
      <c r="ABB22" s="4"/>
      <c r="ABC22" s="4"/>
      <c r="ABD22" s="4"/>
      <c r="ABE22" s="4"/>
      <c r="ABF22" s="4"/>
      <c r="ABG22" s="4"/>
      <c r="ABH22" s="4"/>
      <c r="ABI22" s="4"/>
      <c r="ABJ22" s="4"/>
      <c r="ABK22" s="4"/>
      <c r="ABL22" s="4"/>
      <c r="ABM22" s="4"/>
      <c r="ABN22" s="4"/>
      <c r="ABO22" s="4"/>
      <c r="ABP22" s="6"/>
      <c r="ABQ22" s="6"/>
      <c r="ABR22" s="6"/>
      <c r="ABS22" s="6"/>
      <c r="ABT22" s="6"/>
      <c r="ABU22" s="6"/>
      <c r="ABV22" s="6"/>
      <c r="ABW22" s="6"/>
      <c r="ABX22" s="4"/>
      <c r="ABY22" s="4"/>
      <c r="ABZ22" s="4"/>
      <c r="ACA22" s="4"/>
      <c r="ACB22" s="4"/>
      <c r="ACC22" s="4"/>
      <c r="ACD22" s="4"/>
      <c r="ACE22" s="4"/>
      <c r="ACF22" s="4"/>
      <c r="ACG22" s="4"/>
      <c r="ACH22" s="4"/>
      <c r="ACI22" s="4"/>
      <c r="ACJ22" s="4"/>
      <c r="ACK22" s="4"/>
      <c r="ACL22" s="4"/>
      <c r="ACM22" s="4"/>
      <c r="ACN22" s="6"/>
      <c r="ACO22" s="6"/>
      <c r="ACP22" s="4"/>
      <c r="ACQ22" s="4"/>
      <c r="ACR22" s="4"/>
      <c r="ACS22" s="4"/>
      <c r="ACT22" s="4"/>
      <c r="ACU22" s="4"/>
      <c r="ACV22" s="4"/>
      <c r="ACW22" s="4"/>
      <c r="ACX22" s="4"/>
      <c r="ACY22" s="4"/>
      <c r="ACZ22" s="4"/>
      <c r="ADA22" s="4"/>
      <c r="ADB22" s="4"/>
      <c r="ADC22" s="4"/>
      <c r="ADD22" s="4"/>
      <c r="ADE22" s="4"/>
      <c r="ADF22" s="4"/>
      <c r="ADG22" s="4"/>
      <c r="ADH22" s="4"/>
      <c r="ADI22" s="4"/>
      <c r="ADJ22" s="4"/>
      <c r="ADK22" s="4"/>
      <c r="ADL22" s="4"/>
      <c r="ADM22" s="4"/>
      <c r="ADN22" s="4"/>
      <c r="ADO22" s="4"/>
      <c r="ADP22" s="4"/>
      <c r="ADQ22" s="4"/>
      <c r="ADR22" s="4"/>
      <c r="ADS22" s="4"/>
      <c r="ADT22" s="4"/>
      <c r="ADU22" s="4"/>
      <c r="ADV22" s="4"/>
      <c r="ADW22" s="4"/>
      <c r="ADX22" s="4"/>
      <c r="ADY22" s="4"/>
      <c r="ADZ22" s="4"/>
      <c r="AEA22" s="4"/>
      <c r="AEB22" s="4"/>
      <c r="AEC22" s="4"/>
      <c r="AED22" s="4"/>
      <c r="AEE22" s="4"/>
      <c r="AEF22" s="4"/>
      <c r="AEG22" s="4"/>
      <c r="AEH22" s="4"/>
      <c r="AEI22" s="4"/>
      <c r="AEJ22" s="4"/>
      <c r="AEK22" s="4"/>
    </row>
    <row r="23" spans="1:817" x14ac:dyDescent="0.25">
      <c r="A23" s="40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6"/>
      <c r="BU23" s="6"/>
      <c r="BV23" s="6"/>
      <c r="BW23" s="6"/>
      <c r="BX23" s="6"/>
      <c r="BY23" s="6"/>
      <c r="BZ23" s="6"/>
      <c r="CA23" s="6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6"/>
      <c r="CS23" s="6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6"/>
      <c r="IG23" s="6"/>
      <c r="IH23" s="6"/>
      <c r="II23" s="6"/>
      <c r="IJ23" s="6"/>
      <c r="IK23" s="6"/>
      <c r="IL23" s="6"/>
      <c r="IM23" s="6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6"/>
      <c r="JE23" s="6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6"/>
      <c r="OS23" s="6"/>
      <c r="OT23" s="6"/>
      <c r="OU23" s="6"/>
      <c r="OV23" s="6"/>
      <c r="OW23" s="6"/>
      <c r="OX23" s="6"/>
      <c r="OY23" s="6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6"/>
      <c r="PQ23" s="6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6"/>
      <c r="VE23" s="6"/>
      <c r="VF23" s="6"/>
      <c r="VG23" s="6"/>
      <c r="VH23" s="6"/>
      <c r="VI23" s="6"/>
      <c r="VJ23" s="6"/>
      <c r="VK23" s="6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6"/>
      <c r="WC23" s="6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  <c r="AAA23" s="4"/>
      <c r="AAB23" s="4"/>
      <c r="AAC23" s="4"/>
      <c r="AAD23" s="4"/>
      <c r="AAE23" s="4"/>
      <c r="AAF23" s="4"/>
      <c r="AAG23" s="4"/>
      <c r="AAH23" s="4"/>
      <c r="AAI23" s="4"/>
      <c r="AAJ23" s="4"/>
      <c r="AAK23" s="4"/>
      <c r="AAL23" s="4"/>
      <c r="AAM23" s="4"/>
      <c r="AAN23" s="4"/>
      <c r="AAO23" s="4"/>
      <c r="AAP23" s="4"/>
      <c r="AAQ23" s="4"/>
      <c r="AAR23" s="4"/>
      <c r="AAS23" s="4"/>
      <c r="AAT23" s="4"/>
      <c r="AAU23" s="4"/>
      <c r="AAV23" s="4"/>
      <c r="AAW23" s="4"/>
      <c r="AAX23" s="4"/>
      <c r="AAY23" s="4"/>
      <c r="AAZ23" s="4"/>
      <c r="ABA23" s="4"/>
      <c r="ABB23" s="4"/>
      <c r="ABC23" s="4"/>
      <c r="ABD23" s="4"/>
      <c r="ABE23" s="4"/>
      <c r="ABF23" s="4"/>
      <c r="ABG23" s="4"/>
      <c r="ABH23" s="4"/>
      <c r="ABI23" s="4"/>
      <c r="ABJ23" s="4"/>
      <c r="ABK23" s="4"/>
      <c r="ABL23" s="4"/>
      <c r="ABM23" s="4"/>
      <c r="ABN23" s="4"/>
      <c r="ABO23" s="4"/>
      <c r="ABP23" s="6"/>
      <c r="ABQ23" s="6"/>
      <c r="ABR23" s="6"/>
      <c r="ABS23" s="6"/>
      <c r="ABT23" s="6"/>
      <c r="ABU23" s="6"/>
      <c r="ABV23" s="6"/>
      <c r="ABW23" s="6"/>
      <c r="ABX23" s="4"/>
      <c r="ABY23" s="4"/>
      <c r="ABZ23" s="4"/>
      <c r="ACA23" s="4"/>
      <c r="ACB23" s="4"/>
      <c r="ACC23" s="4"/>
      <c r="ACD23" s="4"/>
      <c r="ACE23" s="4"/>
      <c r="ACF23" s="4"/>
      <c r="ACG23" s="4"/>
      <c r="ACH23" s="4"/>
      <c r="ACI23" s="4"/>
      <c r="ACJ23" s="4"/>
      <c r="ACK23" s="4"/>
      <c r="ACL23" s="4"/>
      <c r="ACM23" s="4"/>
      <c r="ACN23" s="6"/>
      <c r="ACO23" s="6"/>
      <c r="ACP23" s="4"/>
      <c r="ACQ23" s="4"/>
      <c r="ACR23" s="4"/>
      <c r="ACS23" s="4"/>
      <c r="ACT23" s="4"/>
      <c r="ACU23" s="4"/>
      <c r="ACV23" s="4"/>
      <c r="ACW23" s="4"/>
      <c r="ACX23" s="4"/>
      <c r="ACY23" s="4"/>
      <c r="ACZ23" s="4"/>
      <c r="ADA23" s="4"/>
      <c r="ADB23" s="4"/>
      <c r="ADC23" s="4"/>
      <c r="ADD23" s="4"/>
      <c r="ADE23" s="4"/>
      <c r="ADF23" s="4"/>
      <c r="ADG23" s="4"/>
      <c r="ADH23" s="4"/>
      <c r="ADI23" s="4"/>
      <c r="ADJ23" s="4"/>
      <c r="ADK23" s="4"/>
      <c r="ADL23" s="4"/>
      <c r="ADM23" s="4"/>
      <c r="ADN23" s="4"/>
      <c r="ADO23" s="4"/>
      <c r="ADP23" s="4"/>
      <c r="ADQ23" s="4"/>
      <c r="ADR23" s="4"/>
      <c r="ADS23" s="4"/>
      <c r="ADT23" s="4"/>
      <c r="ADU23" s="4"/>
      <c r="ADV23" s="4"/>
      <c r="ADW23" s="4"/>
      <c r="ADX23" s="4"/>
      <c r="ADY23" s="4"/>
      <c r="ADZ23" s="4"/>
      <c r="AEA23" s="4"/>
      <c r="AEB23" s="4"/>
      <c r="AEC23" s="4"/>
      <c r="AED23" s="4"/>
      <c r="AEE23" s="4"/>
      <c r="AEF23" s="4"/>
      <c r="AEG23" s="4"/>
      <c r="AEH23" s="4"/>
      <c r="AEI23" s="4"/>
      <c r="AEJ23" s="4"/>
      <c r="AEK23" s="4"/>
    </row>
    <row r="24" spans="1:817" x14ac:dyDescent="0.25">
      <c r="A24" s="48" t="s">
        <v>40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6"/>
      <c r="BU24" s="6"/>
      <c r="BV24" s="6"/>
      <c r="BW24" s="6"/>
      <c r="BX24" s="6"/>
      <c r="BY24" s="6"/>
      <c r="BZ24" s="6"/>
      <c r="CA24" s="6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6"/>
      <c r="CS24" s="6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6"/>
      <c r="IG24" s="6"/>
      <c r="IH24" s="6"/>
      <c r="II24" s="6"/>
      <c r="IJ24" s="6"/>
      <c r="IK24" s="6"/>
      <c r="IL24" s="6"/>
      <c r="IM24" s="6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6"/>
      <c r="JE24" s="6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6"/>
      <c r="OS24" s="6"/>
      <c r="OT24" s="6"/>
      <c r="OU24" s="6"/>
      <c r="OV24" s="6"/>
      <c r="OW24" s="6"/>
      <c r="OX24" s="6"/>
      <c r="OY24" s="6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6"/>
      <c r="PQ24" s="6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6"/>
      <c r="VE24" s="6"/>
      <c r="VF24" s="6"/>
      <c r="VG24" s="6"/>
      <c r="VH24" s="6"/>
      <c r="VI24" s="6"/>
      <c r="VJ24" s="6"/>
      <c r="VK24" s="6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6"/>
      <c r="WC24" s="6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  <c r="AAA24" s="4"/>
      <c r="AAB24" s="4"/>
      <c r="AAC24" s="4"/>
      <c r="AAD24" s="4"/>
      <c r="AAE24" s="4"/>
      <c r="AAF24" s="4"/>
      <c r="AAG24" s="4"/>
      <c r="AAH24" s="4"/>
      <c r="AAI24" s="4"/>
      <c r="AAJ24" s="4"/>
      <c r="AAK24" s="4"/>
      <c r="AAL24" s="4"/>
      <c r="AAM24" s="4"/>
      <c r="AAN24" s="4"/>
      <c r="AAO24" s="4"/>
      <c r="AAP24" s="4"/>
      <c r="AAQ24" s="4"/>
      <c r="AAR24" s="4"/>
      <c r="AAS24" s="4"/>
      <c r="AAT24" s="4"/>
      <c r="AAU24" s="4"/>
      <c r="AAV24" s="4"/>
      <c r="AAW24" s="4"/>
      <c r="AAX24" s="4"/>
      <c r="AAY24" s="4"/>
      <c r="AAZ24" s="4"/>
      <c r="ABA24" s="4"/>
      <c r="ABB24" s="4"/>
      <c r="ABC24" s="4"/>
      <c r="ABD24" s="4"/>
      <c r="ABE24" s="4"/>
      <c r="ABF24" s="4"/>
      <c r="ABG24" s="4"/>
      <c r="ABH24" s="4"/>
      <c r="ABI24" s="4"/>
      <c r="ABJ24" s="4"/>
      <c r="ABK24" s="4"/>
      <c r="ABL24" s="4"/>
      <c r="ABM24" s="4"/>
      <c r="ABN24" s="4"/>
      <c r="ABO24" s="4"/>
      <c r="ABP24" s="6"/>
      <c r="ABQ24" s="6"/>
      <c r="ABR24" s="6"/>
      <c r="ABS24" s="6"/>
      <c r="ABT24" s="6"/>
      <c r="ABU24" s="6"/>
      <c r="ABV24" s="6"/>
      <c r="ABW24" s="6"/>
      <c r="ABX24" s="4"/>
      <c r="ABY24" s="4"/>
      <c r="ABZ24" s="4"/>
      <c r="ACA24" s="4"/>
      <c r="ACB24" s="4"/>
      <c r="ACC24" s="4"/>
      <c r="ACD24" s="4"/>
      <c r="ACE24" s="4"/>
      <c r="ACF24" s="4"/>
      <c r="ACG24" s="4"/>
      <c r="ACH24" s="4"/>
      <c r="ACI24" s="4"/>
      <c r="ACJ24" s="4"/>
      <c r="ACK24" s="4"/>
      <c r="ACL24" s="4"/>
      <c r="ACM24" s="4"/>
      <c r="ACN24" s="6"/>
      <c r="ACO24" s="6"/>
      <c r="ACP24" s="4"/>
      <c r="ACQ24" s="4"/>
      <c r="ACR24" s="4"/>
      <c r="ACS24" s="4"/>
      <c r="ACT24" s="4"/>
      <c r="ACU24" s="4"/>
      <c r="ACV24" s="4"/>
      <c r="ACW24" s="4"/>
      <c r="ACX24" s="4"/>
      <c r="ACY24" s="4"/>
      <c r="ACZ24" s="4"/>
      <c r="ADA24" s="4"/>
      <c r="ADB24" s="4"/>
      <c r="ADC24" s="4"/>
      <c r="ADD24" s="4"/>
      <c r="ADE24" s="4"/>
      <c r="ADF24" s="4"/>
      <c r="ADG24" s="4"/>
      <c r="ADH24" s="4"/>
      <c r="ADI24" s="4"/>
      <c r="ADJ24" s="4"/>
      <c r="ADK24" s="4"/>
      <c r="ADL24" s="4"/>
      <c r="ADM24" s="4"/>
      <c r="ADN24" s="4"/>
      <c r="ADO24" s="4"/>
      <c r="ADP24" s="4"/>
      <c r="ADQ24" s="4"/>
      <c r="ADR24" s="4"/>
      <c r="ADS24" s="4"/>
      <c r="ADT24" s="4"/>
      <c r="ADU24" s="4"/>
      <c r="ADV24" s="4"/>
      <c r="ADW24" s="4"/>
      <c r="ADX24" s="4"/>
      <c r="ADY24" s="4"/>
      <c r="ADZ24" s="4"/>
      <c r="AEA24" s="4"/>
      <c r="AEB24" s="4"/>
      <c r="AEC24" s="4"/>
      <c r="AED24" s="4"/>
      <c r="AEE24" s="4"/>
      <c r="AEF24" s="4"/>
      <c r="AEG24" s="4"/>
      <c r="AEH24" s="4"/>
      <c r="AEI24" s="4"/>
      <c r="AEJ24" s="4"/>
      <c r="AEK24" s="4"/>
    </row>
    <row r="25" spans="1:817" x14ac:dyDescent="0.25">
      <c r="A25" s="40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6"/>
      <c r="BU25" s="6"/>
      <c r="BV25" s="6"/>
      <c r="BW25" s="6"/>
      <c r="BX25" s="6"/>
      <c r="BY25" s="6"/>
      <c r="BZ25" s="6"/>
      <c r="CA25" s="6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6"/>
      <c r="CS25" s="6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6"/>
      <c r="IG25" s="6"/>
      <c r="IH25" s="6"/>
      <c r="II25" s="6"/>
      <c r="IJ25" s="6"/>
      <c r="IK25" s="6"/>
      <c r="IL25" s="6"/>
      <c r="IM25" s="6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6"/>
      <c r="JE25" s="6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6"/>
      <c r="OS25" s="6"/>
      <c r="OT25" s="6"/>
      <c r="OU25" s="6"/>
      <c r="OV25" s="6"/>
      <c r="OW25" s="6"/>
      <c r="OX25" s="6"/>
      <c r="OY25" s="6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6"/>
      <c r="PQ25" s="6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6"/>
      <c r="VE25" s="6"/>
      <c r="VF25" s="6"/>
      <c r="VG25" s="6"/>
      <c r="VH25" s="6"/>
      <c r="VI25" s="6"/>
      <c r="VJ25" s="6"/>
      <c r="VK25" s="6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6"/>
      <c r="WC25" s="6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  <c r="AAA25" s="4"/>
      <c r="AAB25" s="4"/>
      <c r="AAC25" s="4"/>
      <c r="AAD25" s="4"/>
      <c r="AAE25" s="4"/>
      <c r="AAF25" s="4"/>
      <c r="AAG25" s="4"/>
      <c r="AAH25" s="4"/>
      <c r="AAI25" s="4"/>
      <c r="AAJ25" s="4"/>
      <c r="AAK25" s="4"/>
      <c r="AAL25" s="4"/>
      <c r="AAM25" s="4"/>
      <c r="AAN25" s="4"/>
      <c r="AAO25" s="4"/>
      <c r="AAP25" s="4"/>
      <c r="AAQ25" s="4"/>
      <c r="AAR25" s="4"/>
      <c r="AAS25" s="4"/>
      <c r="AAT25" s="4"/>
      <c r="AAU25" s="4"/>
      <c r="AAV25" s="4"/>
      <c r="AAW25" s="4"/>
      <c r="AAX25" s="4"/>
      <c r="AAY25" s="4"/>
      <c r="AAZ25" s="4"/>
      <c r="ABA25" s="4"/>
      <c r="ABB25" s="4"/>
      <c r="ABC25" s="4"/>
      <c r="ABD25" s="4"/>
      <c r="ABE25" s="4"/>
      <c r="ABF25" s="4"/>
      <c r="ABG25" s="4"/>
      <c r="ABH25" s="4"/>
      <c r="ABI25" s="4"/>
      <c r="ABJ25" s="4"/>
      <c r="ABK25" s="4"/>
      <c r="ABL25" s="4"/>
      <c r="ABM25" s="4"/>
      <c r="ABN25" s="4"/>
      <c r="ABO25" s="4"/>
      <c r="ABP25" s="6"/>
      <c r="ABQ25" s="6"/>
      <c r="ABR25" s="6"/>
      <c r="ABS25" s="6"/>
      <c r="ABT25" s="6"/>
      <c r="ABU25" s="6"/>
      <c r="ABV25" s="6"/>
      <c r="ABW25" s="6"/>
      <c r="ABX25" s="4"/>
      <c r="ABY25" s="4"/>
      <c r="ABZ25" s="4"/>
      <c r="ACA25" s="4"/>
      <c r="ACB25" s="4"/>
      <c r="ACC25" s="4"/>
      <c r="ACD25" s="4"/>
      <c r="ACE25" s="4"/>
      <c r="ACF25" s="4"/>
      <c r="ACG25" s="4"/>
      <c r="ACH25" s="4"/>
      <c r="ACI25" s="4"/>
      <c r="ACJ25" s="4"/>
      <c r="ACK25" s="4"/>
      <c r="ACL25" s="4"/>
      <c r="ACM25" s="4"/>
      <c r="ACN25" s="6"/>
      <c r="ACO25" s="6"/>
      <c r="ACP25" s="4"/>
      <c r="ACQ25" s="4"/>
      <c r="ACR25" s="4"/>
      <c r="ACS25" s="4"/>
      <c r="ACT25" s="4"/>
      <c r="ACU25" s="4"/>
      <c r="ACV25" s="4"/>
      <c r="ACW25" s="4"/>
      <c r="ACX25" s="4"/>
      <c r="ACY25" s="4"/>
      <c r="ACZ25" s="4"/>
      <c r="ADA25" s="4"/>
      <c r="ADB25" s="4"/>
      <c r="ADC25" s="4"/>
      <c r="ADD25" s="4"/>
      <c r="ADE25" s="4"/>
      <c r="ADF25" s="4"/>
      <c r="ADG25" s="4"/>
      <c r="ADH25" s="4"/>
      <c r="ADI25" s="4"/>
      <c r="ADJ25" s="4"/>
      <c r="ADK25" s="4"/>
      <c r="ADL25" s="4"/>
      <c r="ADM25" s="4"/>
      <c r="ADN25" s="4"/>
      <c r="ADO25" s="4"/>
      <c r="ADP25" s="4"/>
      <c r="ADQ25" s="4"/>
      <c r="ADR25" s="4"/>
      <c r="ADS25" s="4"/>
      <c r="ADT25" s="4"/>
      <c r="ADU25" s="4"/>
      <c r="ADV25" s="4"/>
      <c r="ADW25" s="4"/>
      <c r="ADX25" s="4"/>
      <c r="ADY25" s="4"/>
      <c r="ADZ25" s="4"/>
      <c r="AEA25" s="4"/>
      <c r="AEB25" s="4"/>
      <c r="AEC25" s="4"/>
      <c r="AED25" s="4"/>
      <c r="AEE25" s="4"/>
      <c r="AEF25" s="4"/>
      <c r="AEG25" s="4"/>
      <c r="AEH25" s="4"/>
      <c r="AEI25" s="4"/>
      <c r="AEJ25" s="4"/>
      <c r="AEK25" s="4"/>
    </row>
    <row r="26" spans="1:817" x14ac:dyDescent="0.25">
      <c r="A26" s="40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6"/>
      <c r="BU26" s="6"/>
      <c r="BV26" s="6"/>
      <c r="BW26" s="6"/>
      <c r="BX26" s="6"/>
      <c r="BY26" s="6"/>
      <c r="BZ26" s="6"/>
      <c r="CA26" s="6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6"/>
      <c r="CS26" s="6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6"/>
      <c r="IG26" s="6"/>
      <c r="IH26" s="6"/>
      <c r="II26" s="6"/>
      <c r="IJ26" s="6"/>
      <c r="IK26" s="6"/>
      <c r="IL26" s="6"/>
      <c r="IM26" s="6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6"/>
      <c r="JE26" s="6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6"/>
      <c r="OS26" s="6"/>
      <c r="OT26" s="6"/>
      <c r="OU26" s="6"/>
      <c r="OV26" s="6"/>
      <c r="OW26" s="6"/>
      <c r="OX26" s="6"/>
      <c r="OY26" s="6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6"/>
      <c r="PQ26" s="6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6"/>
      <c r="VE26" s="6"/>
      <c r="VF26" s="6"/>
      <c r="VG26" s="6"/>
      <c r="VH26" s="6"/>
      <c r="VI26" s="6"/>
      <c r="VJ26" s="6"/>
      <c r="VK26" s="6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6"/>
      <c r="WC26" s="6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  <c r="AAA26" s="4"/>
      <c r="AAB26" s="4"/>
      <c r="AAC26" s="4"/>
      <c r="AAD26" s="4"/>
      <c r="AAE26" s="4"/>
      <c r="AAF26" s="4"/>
      <c r="AAG26" s="4"/>
      <c r="AAH26" s="4"/>
      <c r="AAI26" s="4"/>
      <c r="AAJ26" s="4"/>
      <c r="AAK26" s="4"/>
      <c r="AAL26" s="4"/>
      <c r="AAM26" s="4"/>
      <c r="AAN26" s="4"/>
      <c r="AAO26" s="4"/>
      <c r="AAP26" s="4"/>
      <c r="AAQ26" s="4"/>
      <c r="AAR26" s="4"/>
      <c r="AAS26" s="4"/>
      <c r="AAT26" s="4"/>
      <c r="AAU26" s="4"/>
      <c r="AAV26" s="4"/>
      <c r="AAW26" s="4"/>
      <c r="AAX26" s="4"/>
      <c r="AAY26" s="4"/>
      <c r="AAZ26" s="4"/>
      <c r="ABA26" s="4"/>
      <c r="ABB26" s="4"/>
      <c r="ABC26" s="4"/>
      <c r="ABD26" s="4"/>
      <c r="ABE26" s="4"/>
      <c r="ABF26" s="4"/>
      <c r="ABG26" s="4"/>
      <c r="ABH26" s="4"/>
      <c r="ABI26" s="4"/>
      <c r="ABJ26" s="4"/>
      <c r="ABK26" s="4"/>
      <c r="ABL26" s="4"/>
      <c r="ABM26" s="4"/>
      <c r="ABN26" s="4"/>
      <c r="ABO26" s="4"/>
      <c r="ABP26" s="6"/>
      <c r="ABQ26" s="6"/>
      <c r="ABR26" s="6"/>
      <c r="ABS26" s="6"/>
      <c r="ABT26" s="6"/>
      <c r="ABU26" s="6"/>
      <c r="ABV26" s="6"/>
      <c r="ABW26" s="6"/>
      <c r="ABX26" s="4"/>
      <c r="ABY26" s="4"/>
      <c r="ABZ26" s="4"/>
      <c r="ACA26" s="4"/>
      <c r="ACB26" s="4"/>
      <c r="ACC26" s="4"/>
      <c r="ACD26" s="4"/>
      <c r="ACE26" s="4"/>
      <c r="ACF26" s="4"/>
      <c r="ACG26" s="4"/>
      <c r="ACH26" s="4"/>
      <c r="ACI26" s="4"/>
      <c r="ACJ26" s="4"/>
      <c r="ACK26" s="4"/>
      <c r="ACL26" s="4"/>
      <c r="ACM26" s="4"/>
      <c r="ACN26" s="6"/>
      <c r="ACO26" s="6"/>
      <c r="ACP26" s="4"/>
      <c r="ACQ26" s="4"/>
      <c r="ACR26" s="4"/>
      <c r="ACS26" s="4"/>
      <c r="ACT26" s="4"/>
      <c r="ACU26" s="4"/>
      <c r="ACV26" s="4"/>
      <c r="ACW26" s="4"/>
      <c r="ACX26" s="4"/>
      <c r="ACY26" s="4"/>
      <c r="ACZ26" s="4"/>
      <c r="ADA26" s="4"/>
      <c r="ADB26" s="4"/>
      <c r="ADC26" s="4"/>
      <c r="ADD26" s="4"/>
      <c r="ADE26" s="4"/>
      <c r="ADF26" s="4"/>
      <c r="ADG26" s="4"/>
      <c r="ADH26" s="4"/>
      <c r="ADI26" s="4"/>
      <c r="ADJ26" s="4"/>
      <c r="ADK26" s="4"/>
      <c r="ADL26" s="4"/>
      <c r="ADM26" s="4"/>
      <c r="ADN26" s="4"/>
      <c r="ADO26" s="4"/>
      <c r="ADP26" s="4"/>
      <c r="ADQ26" s="4"/>
      <c r="ADR26" s="4"/>
      <c r="ADS26" s="4"/>
      <c r="ADT26" s="4"/>
      <c r="ADU26" s="4"/>
      <c r="ADV26" s="4"/>
      <c r="ADW26" s="4"/>
      <c r="ADX26" s="4"/>
      <c r="ADY26" s="4"/>
      <c r="ADZ26" s="4"/>
      <c r="AEA26" s="4"/>
      <c r="AEB26" s="4"/>
      <c r="AEC26" s="4"/>
      <c r="AED26" s="4"/>
      <c r="AEE26" s="4"/>
      <c r="AEF26" s="4"/>
      <c r="AEG26" s="4"/>
      <c r="AEH26" s="4"/>
      <c r="AEI26" s="4"/>
      <c r="AEJ26" s="4"/>
      <c r="AEK26" s="4"/>
    </row>
    <row r="27" spans="1:817" x14ac:dyDescent="0.25">
      <c r="A27" s="40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6"/>
      <c r="BU27" s="6"/>
      <c r="BV27" s="6"/>
      <c r="BW27" s="6"/>
      <c r="BX27" s="6"/>
      <c r="BY27" s="6"/>
      <c r="BZ27" s="6"/>
      <c r="CA27" s="6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6"/>
      <c r="CS27" s="6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6"/>
      <c r="IG27" s="6"/>
      <c r="IH27" s="6"/>
      <c r="II27" s="6"/>
      <c r="IJ27" s="6"/>
      <c r="IK27" s="6"/>
      <c r="IL27" s="6"/>
      <c r="IM27" s="6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6"/>
      <c r="JE27" s="6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6"/>
      <c r="OS27" s="6"/>
      <c r="OT27" s="6"/>
      <c r="OU27" s="6"/>
      <c r="OV27" s="6"/>
      <c r="OW27" s="6"/>
      <c r="OX27" s="6"/>
      <c r="OY27" s="6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6"/>
      <c r="PQ27" s="6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6"/>
      <c r="VE27" s="6"/>
      <c r="VF27" s="6"/>
      <c r="VG27" s="6"/>
      <c r="VH27" s="6"/>
      <c r="VI27" s="6"/>
      <c r="VJ27" s="6"/>
      <c r="VK27" s="6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6"/>
      <c r="WC27" s="6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  <c r="AAA27" s="4"/>
      <c r="AAB27" s="4"/>
      <c r="AAC27" s="4"/>
      <c r="AAD27" s="4"/>
      <c r="AAE27" s="4"/>
      <c r="AAF27" s="4"/>
      <c r="AAG27" s="4"/>
      <c r="AAH27" s="4"/>
      <c r="AAI27" s="4"/>
      <c r="AAJ27" s="4"/>
      <c r="AAK27" s="4"/>
      <c r="AAL27" s="4"/>
      <c r="AAM27" s="4"/>
      <c r="AAN27" s="4"/>
      <c r="AAO27" s="4"/>
      <c r="AAP27" s="4"/>
      <c r="AAQ27" s="4"/>
      <c r="AAR27" s="4"/>
      <c r="AAS27" s="4"/>
      <c r="AAT27" s="4"/>
      <c r="AAU27" s="4"/>
      <c r="AAV27" s="4"/>
      <c r="AAW27" s="4"/>
      <c r="AAX27" s="4"/>
      <c r="AAY27" s="4"/>
      <c r="AAZ27" s="4"/>
      <c r="ABA27" s="4"/>
      <c r="ABB27" s="4"/>
      <c r="ABC27" s="4"/>
      <c r="ABD27" s="4"/>
      <c r="ABE27" s="4"/>
      <c r="ABF27" s="4"/>
      <c r="ABG27" s="4"/>
      <c r="ABH27" s="4"/>
      <c r="ABI27" s="4"/>
      <c r="ABJ27" s="4"/>
      <c r="ABK27" s="4"/>
      <c r="ABL27" s="4"/>
      <c r="ABM27" s="4"/>
      <c r="ABN27" s="4"/>
      <c r="ABO27" s="4"/>
      <c r="ABP27" s="6"/>
      <c r="ABQ27" s="6"/>
      <c r="ABR27" s="6"/>
      <c r="ABS27" s="6"/>
      <c r="ABT27" s="6"/>
      <c r="ABU27" s="6"/>
      <c r="ABV27" s="6"/>
      <c r="ABW27" s="6"/>
      <c r="ABX27" s="4"/>
      <c r="ABY27" s="4"/>
      <c r="ABZ27" s="4"/>
      <c r="ACA27" s="4"/>
      <c r="ACB27" s="4"/>
      <c r="ACC27" s="4"/>
      <c r="ACD27" s="4"/>
      <c r="ACE27" s="4"/>
      <c r="ACF27" s="4"/>
      <c r="ACG27" s="4"/>
      <c r="ACH27" s="4"/>
      <c r="ACI27" s="4"/>
      <c r="ACJ27" s="4"/>
      <c r="ACK27" s="4"/>
      <c r="ACL27" s="4"/>
      <c r="ACM27" s="4"/>
      <c r="ACN27" s="6"/>
      <c r="ACO27" s="6"/>
      <c r="ACP27" s="4"/>
      <c r="ACQ27" s="4"/>
      <c r="ACR27" s="4"/>
      <c r="ACS27" s="4"/>
      <c r="ACT27" s="4"/>
      <c r="ACU27" s="4"/>
      <c r="ACV27" s="4"/>
      <c r="ACW27" s="4"/>
      <c r="ACX27" s="4"/>
      <c r="ACY27" s="4"/>
      <c r="ACZ27" s="4"/>
      <c r="ADA27" s="4"/>
      <c r="ADB27" s="4"/>
      <c r="ADC27" s="4"/>
      <c r="ADD27" s="4"/>
      <c r="ADE27" s="4"/>
      <c r="ADF27" s="4"/>
      <c r="ADG27" s="4"/>
      <c r="ADH27" s="4"/>
      <c r="ADI27" s="4"/>
      <c r="ADJ27" s="4"/>
      <c r="ADK27" s="4"/>
      <c r="ADL27" s="4"/>
      <c r="ADM27" s="4"/>
      <c r="ADN27" s="4"/>
      <c r="ADO27" s="4"/>
      <c r="ADP27" s="4"/>
      <c r="ADQ27" s="4"/>
      <c r="ADR27" s="4"/>
      <c r="ADS27" s="4"/>
      <c r="ADT27" s="4"/>
      <c r="ADU27" s="4"/>
      <c r="ADV27" s="4"/>
      <c r="ADW27" s="4"/>
      <c r="ADX27" s="4"/>
      <c r="ADY27" s="4"/>
      <c r="ADZ27" s="4"/>
      <c r="AEA27" s="4"/>
      <c r="AEB27" s="4"/>
      <c r="AEC27" s="4"/>
      <c r="AED27" s="4"/>
      <c r="AEE27" s="4"/>
      <c r="AEF27" s="4"/>
      <c r="AEG27" s="4"/>
      <c r="AEH27" s="4"/>
      <c r="AEI27" s="4"/>
      <c r="AEJ27" s="4"/>
      <c r="AEK27" s="4"/>
    </row>
  </sheetData>
  <mergeCells count="40">
    <mergeCell ref="ACP1:ADM1"/>
    <mergeCell ref="ADN1:AEK1"/>
    <mergeCell ref="RN1:SK1"/>
    <mergeCell ref="SL1:TI1"/>
    <mergeCell ref="TJ1:UG1"/>
    <mergeCell ref="UH1:VE1"/>
    <mergeCell ref="VF1:WC1"/>
    <mergeCell ref="AAT1:ABQ1"/>
    <mergeCell ref="ABR1:ACO1"/>
    <mergeCell ref="WD1:XA1"/>
    <mergeCell ref="XB1:XY1"/>
    <mergeCell ref="XZ1:YW1"/>
    <mergeCell ref="YX1:ZU1"/>
    <mergeCell ref="ZV1:AAS1"/>
    <mergeCell ref="MX1:NU1"/>
    <mergeCell ref="NV1:OS1"/>
    <mergeCell ref="OT1:PQ1"/>
    <mergeCell ref="PR1:QO1"/>
    <mergeCell ref="QP1:RM1"/>
    <mergeCell ref="IH1:JE1"/>
    <mergeCell ref="JF1:KC1"/>
    <mergeCell ref="KD1:LA1"/>
    <mergeCell ref="LB1:LY1"/>
    <mergeCell ref="LZ1:MW1"/>
    <mergeCell ref="A24:A27"/>
    <mergeCell ref="A12:A15"/>
    <mergeCell ref="Z1:AW1"/>
    <mergeCell ref="A20:A23"/>
    <mergeCell ref="AX1:BU1"/>
    <mergeCell ref="B1:Y1"/>
    <mergeCell ref="A16:A19"/>
    <mergeCell ref="A4:A7"/>
    <mergeCell ref="A8:A11"/>
    <mergeCell ref="GL1:HI1"/>
    <mergeCell ref="HJ1:IG1"/>
    <mergeCell ref="BV1:CS1"/>
    <mergeCell ref="CT1:DQ1"/>
    <mergeCell ref="DR1:EO1"/>
    <mergeCell ref="EP1:FM1"/>
    <mergeCell ref="FN1:GK1"/>
  </mergeCells>
  <dataValidations xWindow="272" yWindow="225" count="1">
    <dataValidation type="date" operator="greaterThanOrEqual" allowBlank="1" showInputMessage="1" showErrorMessage="1" errorTitle="Mês do Planejamento" error="Informe uma data válida (ex.: 01/09/2026)." promptTitle="Mês do Planejamento" prompt="Digite o mês, ex.: 01/09/2026. O motor de cascata só altera operações deste mês." sqref="A1" xr:uid="{52D3EF9C-3B13-4B43-9819-2FB3CF644A78}">
      <formula1>DATE(2020,1,1)</formula1>
    </dataValidation>
  </dataValidations>
  <pageMargins left="0.75" right="0.75" top="1" bottom="1" header="0.5" footer="0.5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1" tint="0.499984740745262"/>
  </sheetPr>
  <dimension ref="A1:P18"/>
  <sheetViews>
    <sheetView topLeftCell="F1" workbookViewId="0">
      <selection activeCell="I13" sqref="I13"/>
    </sheetView>
  </sheetViews>
  <sheetFormatPr defaultRowHeight="15" x14ac:dyDescent="0.25"/>
  <cols>
    <col min="1" max="1" width="17.85546875" customWidth="1"/>
    <col min="2" max="2" width="23" customWidth="1"/>
    <col min="3" max="4" width="14.7109375" customWidth="1"/>
    <col min="5" max="7" width="18.7109375" customWidth="1"/>
    <col min="8" max="8" width="15.7109375" customWidth="1"/>
    <col min="9" max="9" width="18.42578125" customWidth="1"/>
    <col min="10" max="10" width="20.42578125" bestFit="1" customWidth="1"/>
    <col min="11" max="11" width="14.5703125" customWidth="1"/>
    <col min="12" max="13" width="10.7109375" customWidth="1"/>
    <col min="14" max="14" width="13.85546875" hidden="1" customWidth="1"/>
    <col min="15" max="15" width="11" customWidth="1"/>
    <col min="16" max="16" width="24.140625" customWidth="1"/>
  </cols>
  <sheetData>
    <row r="1" spans="1:16" ht="27.95" customHeight="1" x14ac:dyDescent="0.25">
      <c r="A1" s="5" t="s">
        <v>45</v>
      </c>
      <c r="B1" s="5" t="s">
        <v>41</v>
      </c>
      <c r="C1" s="5" t="s">
        <v>67</v>
      </c>
      <c r="D1" s="5" t="s">
        <v>42</v>
      </c>
      <c r="E1" s="5" t="s">
        <v>43</v>
      </c>
      <c r="F1" s="5" t="s">
        <v>46</v>
      </c>
      <c r="G1" s="5" t="s">
        <v>47</v>
      </c>
      <c r="H1" s="5" t="s">
        <v>48</v>
      </c>
      <c r="I1" s="5" t="s">
        <v>49</v>
      </c>
      <c r="J1" s="5" t="s">
        <v>50</v>
      </c>
      <c r="K1" s="5" t="s">
        <v>51</v>
      </c>
      <c r="L1" s="5" t="s">
        <v>68</v>
      </c>
      <c r="M1" s="5" t="s">
        <v>74</v>
      </c>
      <c r="N1" s="5" t="s">
        <v>52</v>
      </c>
      <c r="O1" s="5" t="s">
        <v>44</v>
      </c>
      <c r="P1" s="5" t="s">
        <v>53</v>
      </c>
    </row>
    <row r="2" spans="1:16" ht="20.100000000000001" customHeight="1" x14ac:dyDescent="0.25">
      <c r="A2" s="16" t="s">
        <v>69</v>
      </c>
      <c r="B2" s="15" t="s">
        <v>70</v>
      </c>
      <c r="C2" s="16" t="s">
        <v>73</v>
      </c>
      <c r="D2" s="16" t="s">
        <v>71</v>
      </c>
      <c r="E2" s="15" t="s">
        <v>72</v>
      </c>
      <c r="F2" s="18">
        <v>46306.416666666664</v>
      </c>
      <c r="G2" s="18">
        <v>46307.055555555555</v>
      </c>
      <c r="H2" s="15" t="s">
        <v>75</v>
      </c>
      <c r="I2" s="15"/>
      <c r="J2" s="15">
        <v>4000</v>
      </c>
      <c r="K2" s="17">
        <v>0.55555555555555558</v>
      </c>
      <c r="L2" s="17">
        <v>8.3333333333333329E-2</v>
      </c>
      <c r="M2" s="17"/>
      <c r="N2" s="20">
        <v>20</v>
      </c>
      <c r="O2" s="21">
        <v>1</v>
      </c>
      <c r="P2">
        <v>150</v>
      </c>
    </row>
    <row r="3" spans="1:16" ht="20.100000000000001" customHeight="1" x14ac:dyDescent="0.25">
      <c r="A3" s="16" t="s">
        <v>91</v>
      </c>
      <c r="B3" s="15" t="s">
        <v>92</v>
      </c>
      <c r="C3" s="16" t="s">
        <v>94</v>
      </c>
      <c r="D3" s="16" t="s">
        <v>93</v>
      </c>
      <c r="E3" s="15" t="s">
        <v>81</v>
      </c>
      <c r="F3" s="18">
        <v>46310.208333333336</v>
      </c>
      <c r="G3" s="18">
        <v>46310.541666666664</v>
      </c>
      <c r="H3" s="15" t="s">
        <v>75</v>
      </c>
      <c r="I3" s="15"/>
      <c r="J3" s="15"/>
      <c r="K3" s="17">
        <v>0.33333333333333331</v>
      </c>
      <c r="L3" s="17"/>
      <c r="M3" s="17"/>
      <c r="N3" s="20">
        <v>21</v>
      </c>
    </row>
    <row r="4" spans="1:16" ht="20.100000000000001" customHeight="1" x14ac:dyDescent="0.25">
      <c r="A4" s="16"/>
      <c r="B4" s="15"/>
      <c r="C4" s="16"/>
      <c r="D4" s="16"/>
      <c r="E4" s="15"/>
      <c r="F4" s="18"/>
      <c r="G4" s="18"/>
      <c r="H4" s="15"/>
      <c r="I4" s="15"/>
      <c r="J4" s="15"/>
      <c r="K4" s="17"/>
      <c r="L4" s="17"/>
      <c r="M4" s="17"/>
      <c r="N4" s="20"/>
    </row>
    <row r="5" spans="1:16" x14ac:dyDescent="0.25">
      <c r="A5" s="16"/>
      <c r="B5" s="15"/>
      <c r="C5" s="16"/>
      <c r="D5" s="16"/>
      <c r="E5" s="15"/>
      <c r="F5" s="18"/>
      <c r="G5" s="18"/>
      <c r="H5" s="15"/>
      <c r="I5" s="15"/>
      <c r="J5" s="15"/>
      <c r="K5" s="17"/>
      <c r="L5" s="17"/>
      <c r="M5" s="17"/>
      <c r="N5" s="20"/>
    </row>
    <row r="6" spans="1:16" x14ac:dyDescent="0.25">
      <c r="A6" s="16"/>
      <c r="B6" s="15"/>
      <c r="C6" s="16"/>
      <c r="D6" s="16"/>
      <c r="E6" s="15"/>
      <c r="F6" s="18"/>
      <c r="G6" s="18"/>
      <c r="H6" s="15"/>
      <c r="I6" s="15"/>
      <c r="J6" s="15"/>
      <c r="K6" s="17"/>
      <c r="L6" s="17"/>
      <c r="M6" s="17"/>
      <c r="N6" s="20"/>
    </row>
    <row r="7" spans="1:16" x14ac:dyDescent="0.25">
      <c r="A7" s="16"/>
      <c r="B7" s="15"/>
      <c r="C7" s="16"/>
      <c r="D7" s="16"/>
      <c r="E7" s="15"/>
      <c r="F7" s="18"/>
      <c r="G7" s="18"/>
      <c r="H7" s="15"/>
      <c r="I7" s="15"/>
      <c r="J7" s="15"/>
      <c r="K7" s="17"/>
      <c r="L7" s="17"/>
      <c r="M7" s="17"/>
      <c r="N7" s="20"/>
      <c r="O7" s="21"/>
    </row>
    <row r="8" spans="1:16" x14ac:dyDescent="0.25">
      <c r="A8" s="16"/>
      <c r="B8" s="15"/>
      <c r="C8" s="16"/>
      <c r="D8" s="16"/>
      <c r="E8" s="15"/>
      <c r="F8" s="18"/>
      <c r="G8" s="18"/>
      <c r="H8" s="15"/>
      <c r="I8" s="15"/>
      <c r="J8" s="15"/>
      <c r="K8" s="17"/>
      <c r="L8" s="17"/>
      <c r="M8" s="17"/>
      <c r="N8" s="20"/>
    </row>
    <row r="9" spans="1:16" x14ac:dyDescent="0.25">
      <c r="A9" s="16"/>
      <c r="B9" s="15"/>
      <c r="C9" s="16"/>
      <c r="D9" s="16"/>
      <c r="E9" s="15"/>
      <c r="F9" s="18"/>
      <c r="G9" s="18"/>
      <c r="H9" s="15"/>
      <c r="I9" s="15"/>
      <c r="J9" s="15"/>
      <c r="K9" s="17"/>
      <c r="L9" s="17"/>
      <c r="M9" s="17"/>
      <c r="N9" s="20"/>
    </row>
    <row r="10" spans="1:16" x14ac:dyDescent="0.25">
      <c r="A10" s="16"/>
      <c r="B10" s="15"/>
      <c r="C10" s="16"/>
      <c r="D10" s="16"/>
      <c r="E10" s="15"/>
      <c r="F10" s="18"/>
      <c r="G10" s="18"/>
      <c r="H10" s="15"/>
      <c r="I10" s="15"/>
      <c r="J10" s="15"/>
      <c r="K10" s="19"/>
      <c r="L10" s="19"/>
      <c r="M10" s="19"/>
      <c r="N10" s="20"/>
    </row>
    <row r="11" spans="1:16" x14ac:dyDescent="0.25">
      <c r="A11" s="16"/>
      <c r="B11" s="15"/>
      <c r="C11" s="16"/>
      <c r="D11" s="16"/>
      <c r="E11" s="15"/>
      <c r="F11" s="18"/>
      <c r="G11" s="18"/>
      <c r="H11" s="15"/>
      <c r="I11" s="15"/>
      <c r="J11" s="15"/>
      <c r="K11" s="19"/>
      <c r="L11" s="19"/>
      <c r="M11" s="19"/>
      <c r="N11" s="20"/>
    </row>
    <row r="12" spans="1:16" x14ac:dyDescent="0.25">
      <c r="A12" s="16"/>
      <c r="B12" s="15"/>
      <c r="C12" s="16"/>
      <c r="D12" s="16"/>
      <c r="E12" s="15"/>
      <c r="F12" s="18"/>
      <c r="G12" s="18"/>
      <c r="H12" s="15"/>
      <c r="I12" s="15"/>
      <c r="J12" s="15"/>
      <c r="K12" s="17"/>
      <c r="L12" s="17"/>
      <c r="M12" s="17"/>
      <c r="N12" s="20"/>
    </row>
    <row r="13" spans="1:16" x14ac:dyDescent="0.25">
      <c r="A13" s="16"/>
      <c r="B13" s="15"/>
      <c r="C13" s="16"/>
      <c r="D13" s="16"/>
      <c r="E13" s="15"/>
      <c r="F13" s="18"/>
      <c r="G13" s="18"/>
      <c r="H13" s="15"/>
      <c r="I13" s="15"/>
      <c r="J13" s="15"/>
      <c r="K13" s="17"/>
      <c r="L13" s="17"/>
      <c r="M13" s="17"/>
      <c r="N13" s="20"/>
    </row>
    <row r="14" spans="1:16" x14ac:dyDescent="0.25">
      <c r="A14" s="16"/>
      <c r="B14" s="15"/>
      <c r="C14" s="16"/>
      <c r="D14" s="16"/>
      <c r="E14" s="15"/>
      <c r="F14" s="18"/>
      <c r="G14" s="18"/>
      <c r="H14" s="15"/>
      <c r="I14" s="15"/>
      <c r="J14" s="15"/>
      <c r="K14" s="17"/>
      <c r="L14" s="17"/>
      <c r="M14" s="17"/>
      <c r="N14" s="20"/>
    </row>
    <row r="15" spans="1:16" x14ac:dyDescent="0.25">
      <c r="A15" s="16"/>
      <c r="B15" s="15"/>
      <c r="C15" s="16"/>
      <c r="D15" s="16"/>
      <c r="E15" s="15"/>
      <c r="F15" s="18"/>
      <c r="G15" s="18"/>
      <c r="H15" s="15"/>
      <c r="I15" s="15"/>
      <c r="J15" s="15"/>
      <c r="K15" s="17"/>
      <c r="L15" s="17"/>
      <c r="M15" s="17"/>
      <c r="N15" s="20"/>
    </row>
    <row r="16" spans="1:16" x14ac:dyDescent="0.25">
      <c r="A16" s="16"/>
      <c r="B16" s="15"/>
      <c r="C16" s="16"/>
      <c r="D16" s="16"/>
      <c r="E16" s="15"/>
      <c r="F16" s="18"/>
      <c r="G16" s="18"/>
      <c r="H16" s="15"/>
      <c r="I16" s="15"/>
      <c r="J16" s="15"/>
      <c r="K16" s="17"/>
      <c r="L16" s="17"/>
      <c r="M16" s="17"/>
      <c r="N16" s="20"/>
    </row>
    <row r="17" spans="1:15" x14ac:dyDescent="0.25">
      <c r="A17" s="16"/>
      <c r="B17" s="15"/>
      <c r="C17" s="16"/>
      <c r="D17" s="16"/>
      <c r="E17" s="15"/>
      <c r="F17" s="18"/>
      <c r="G17" s="18"/>
      <c r="H17" s="15"/>
      <c r="I17" s="15"/>
      <c r="J17" s="15"/>
      <c r="K17" s="17"/>
      <c r="L17" s="17"/>
      <c r="M17" s="17"/>
      <c r="N17" s="20"/>
    </row>
    <row r="18" spans="1:15" x14ac:dyDescent="0.25">
      <c r="A18" s="16"/>
      <c r="B18" s="15"/>
      <c r="C18" s="16"/>
      <c r="D18" s="16"/>
      <c r="E18" s="15"/>
      <c r="F18" s="18"/>
      <c r="G18" s="18"/>
      <c r="H18" s="15"/>
      <c r="I18" s="15"/>
      <c r="J18" s="15"/>
      <c r="K18" s="17"/>
      <c r="L18" s="17"/>
      <c r="M18" s="17"/>
      <c r="N18" s="20"/>
      <c r="O18" s="21"/>
    </row>
  </sheetData>
  <phoneticPr fontId="7" type="noConversion"/>
  <pageMargins left="0.75" right="0.75" top="1" bottom="1" header="0.5" footer="0.5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98A9F-F244-4A91-9146-C3888C87E622}">
  <sheetPr codeName="Planilha4"/>
  <dimension ref="B1:Z1800"/>
  <sheetViews>
    <sheetView showGridLines="0" workbookViewId="0">
      <pane ySplit="6" topLeftCell="A10" activePane="bottomLeft" state="frozen"/>
      <selection pane="bottomLeft" activeCell="C23" sqref="C23"/>
    </sheetView>
  </sheetViews>
  <sheetFormatPr defaultRowHeight="15" customHeight="1" x14ac:dyDescent="0.25"/>
  <cols>
    <col min="1" max="1" width="2.7109375" style="22" customWidth="1"/>
    <col min="2" max="2" width="42.7109375" style="22" customWidth="1"/>
    <col min="3" max="11" width="14.7109375" style="22" customWidth="1"/>
    <col min="12" max="12" width="2.7109375" style="22" customWidth="1"/>
    <col min="13" max="14" width="14.28515625" style="22" customWidth="1"/>
    <col min="15" max="16" width="9.140625" style="22"/>
    <col min="17" max="26" width="0" style="22" hidden="1" customWidth="1"/>
    <col min="27" max="16384" width="9.140625" style="22"/>
  </cols>
  <sheetData>
    <row r="1" spans="2:26" ht="32.1" customHeight="1" x14ac:dyDescent="0.25">
      <c r="B1" s="24" t="s">
        <v>87</v>
      </c>
      <c r="Q1" s="23" t="s">
        <v>95</v>
      </c>
      <c r="R1" s="22" t="s">
        <v>84</v>
      </c>
    </row>
    <row r="2" spans="2:26" ht="20.100000000000001" customHeight="1" x14ac:dyDescent="0.25">
      <c r="B2" s="25" t="s">
        <v>97</v>
      </c>
      <c r="Q2" s="23" t="s">
        <v>96</v>
      </c>
      <c r="R2" s="22" t="s">
        <v>77</v>
      </c>
    </row>
    <row r="3" spans="2:26" ht="27.95" customHeight="1" x14ac:dyDescent="0.25">
      <c r="Q3" s="23" t="s">
        <v>72</v>
      </c>
      <c r="R3" s="22" t="s">
        <v>82</v>
      </c>
    </row>
    <row r="4" spans="2:26" ht="15.95" customHeight="1" x14ac:dyDescent="0.25">
      <c r="B4" s="26" t="s">
        <v>88</v>
      </c>
      <c r="C4" s="26" t="s">
        <v>76</v>
      </c>
      <c r="D4" s="26" t="s">
        <v>90</v>
      </c>
      <c r="F4" s="80"/>
      <c r="G4" s="81"/>
      <c r="Q4" s="23" t="s">
        <v>86</v>
      </c>
      <c r="R4" s="22" t="s">
        <v>85</v>
      </c>
    </row>
    <row r="5" spans="2:26" ht="21.95" customHeight="1" x14ac:dyDescent="0.25">
      <c r="B5" s="27" t="s">
        <v>89</v>
      </c>
      <c r="C5" s="28" t="s">
        <v>82</v>
      </c>
      <c r="D5" s="79">
        <v>46309</v>
      </c>
      <c r="F5" s="82"/>
      <c r="G5" s="81"/>
      <c r="Q5" s="23" t="s">
        <v>83</v>
      </c>
    </row>
    <row r="6" spans="2:26" ht="18" customHeight="1" x14ac:dyDescent="0.25">
      <c r="B6" s="29" t="s">
        <v>153</v>
      </c>
    </row>
    <row r="7" spans="2:26" ht="8.1" customHeight="1" x14ac:dyDescent="0.25"/>
    <row r="8" spans="2:26" ht="26.1" customHeight="1" x14ac:dyDescent="0.25">
      <c r="B8" s="30" t="s">
        <v>98</v>
      </c>
      <c r="C8" s="30"/>
      <c r="D8" s="30"/>
      <c r="E8" s="30"/>
      <c r="F8" s="30"/>
      <c r="G8" s="30"/>
      <c r="H8" s="30"/>
      <c r="I8" s="30"/>
      <c r="J8" s="30"/>
      <c r="K8" s="30"/>
      <c r="S8"/>
      <c r="T8"/>
      <c r="U8"/>
      <c r="V8"/>
      <c r="W8"/>
      <c r="X8"/>
      <c r="Y8"/>
      <c r="Z8"/>
    </row>
    <row r="9" spans="2:26" ht="8.1" customHeight="1" x14ac:dyDescent="0.25">
      <c r="S9"/>
      <c r="T9"/>
      <c r="U9"/>
      <c r="V9"/>
      <c r="W9"/>
      <c r="X9"/>
      <c r="Y9"/>
      <c r="Z9"/>
    </row>
    <row r="10" spans="2:26" ht="21.95" customHeight="1" x14ac:dyDescent="0.25">
      <c r="B10" s="31" t="s">
        <v>99</v>
      </c>
      <c r="C10" s="34" t="s">
        <v>103</v>
      </c>
      <c r="D10" s="83"/>
      <c r="E10" s="83"/>
      <c r="F10" s="34" t="s">
        <v>106</v>
      </c>
      <c r="G10" s="83"/>
      <c r="H10" s="83"/>
      <c r="I10" s="34" t="s">
        <v>110</v>
      </c>
      <c r="J10" s="83"/>
      <c r="K10" s="83"/>
      <c r="R10" s="22" t="s">
        <v>78</v>
      </c>
      <c r="S10"/>
      <c r="T10"/>
      <c r="U10"/>
      <c r="V10"/>
      <c r="W10"/>
      <c r="X10"/>
      <c r="Y10"/>
      <c r="Z10"/>
    </row>
    <row r="11" spans="2:26" ht="33.950000000000003" customHeight="1" x14ac:dyDescent="0.25">
      <c r="B11" s="32" t="s">
        <v>100</v>
      </c>
      <c r="C11" s="35" t="s">
        <v>104</v>
      </c>
      <c r="D11" s="83"/>
      <c r="E11" s="83"/>
      <c r="F11" s="35" t="s">
        <v>107</v>
      </c>
      <c r="G11" s="83"/>
      <c r="H11" s="83"/>
      <c r="I11" s="35" t="s">
        <v>107</v>
      </c>
      <c r="J11" s="83"/>
      <c r="K11" s="83"/>
      <c r="R11" s="22" t="s">
        <v>79</v>
      </c>
      <c r="S11"/>
      <c r="T11"/>
      <c r="U11"/>
      <c r="V11"/>
      <c r="W11"/>
      <c r="X11"/>
      <c r="Y11"/>
      <c r="Z11"/>
    </row>
    <row r="12" spans="2:26" ht="14.1" customHeight="1" x14ac:dyDescent="0.25">
      <c r="B12" s="33" t="s">
        <v>101</v>
      </c>
      <c r="C12" s="36" t="s">
        <v>105</v>
      </c>
      <c r="D12" s="83"/>
      <c r="E12" s="83"/>
      <c r="F12" s="36" t="s">
        <v>108</v>
      </c>
      <c r="G12" s="83"/>
      <c r="H12" s="83"/>
      <c r="I12" s="36" t="s">
        <v>111</v>
      </c>
      <c r="J12" s="83"/>
      <c r="K12" s="83"/>
      <c r="R12" s="22" t="s">
        <v>36</v>
      </c>
      <c r="S12"/>
      <c r="T12"/>
      <c r="U12"/>
      <c r="V12"/>
      <c r="W12"/>
      <c r="X12"/>
      <c r="Y12"/>
      <c r="Z12"/>
    </row>
    <row r="13" spans="2:26" ht="14.1" customHeight="1" x14ac:dyDescent="0.25">
      <c r="B13" s="33" t="s">
        <v>102</v>
      </c>
      <c r="C13" s="36" t="s">
        <v>102</v>
      </c>
      <c r="D13" s="83"/>
      <c r="E13" s="83"/>
      <c r="F13" s="36" t="s">
        <v>109</v>
      </c>
      <c r="G13" s="83"/>
      <c r="H13" s="83"/>
      <c r="I13" s="36" t="s">
        <v>109</v>
      </c>
      <c r="J13" s="83"/>
      <c r="K13" s="83"/>
      <c r="R13" s="22" t="s">
        <v>37</v>
      </c>
      <c r="S13"/>
      <c r="T13"/>
      <c r="U13"/>
      <c r="V13"/>
      <c r="W13"/>
      <c r="X13"/>
      <c r="Y13"/>
      <c r="Z13"/>
    </row>
    <row r="14" spans="2:26" ht="15" customHeight="1" x14ac:dyDescent="0.25">
      <c r="R14" s="22" t="s">
        <v>72</v>
      </c>
      <c r="S14"/>
      <c r="T14"/>
      <c r="U14"/>
      <c r="V14"/>
      <c r="W14"/>
      <c r="X14"/>
      <c r="Y14"/>
      <c r="Z14"/>
    </row>
    <row r="15" spans="2:26" ht="26.1" customHeight="1" x14ac:dyDescent="0.25">
      <c r="B15" s="30" t="s">
        <v>112</v>
      </c>
      <c r="C15" s="30"/>
      <c r="D15" s="30"/>
      <c r="E15" s="30"/>
      <c r="F15" s="30"/>
      <c r="G15" s="30"/>
      <c r="H15" s="30"/>
      <c r="I15" s="30"/>
      <c r="J15" s="30"/>
      <c r="K15" s="30"/>
      <c r="R15" s="22" t="s">
        <v>80</v>
      </c>
      <c r="S15"/>
      <c r="T15"/>
      <c r="U15"/>
      <c r="V15"/>
      <c r="W15"/>
      <c r="X15"/>
      <c r="Y15"/>
      <c r="Z15"/>
    </row>
    <row r="16" spans="2:26" ht="15" customHeight="1" x14ac:dyDescent="0.25">
      <c r="B16" s="22" t="s">
        <v>113</v>
      </c>
      <c r="R16" s="22" t="s">
        <v>81</v>
      </c>
      <c r="S16"/>
      <c r="T16"/>
      <c r="U16"/>
      <c r="V16"/>
      <c r="W16"/>
      <c r="X16"/>
      <c r="Y16"/>
      <c r="Z16"/>
    </row>
    <row r="17" spans="2:26" ht="15" customHeight="1" x14ac:dyDescent="0.25">
      <c r="S17"/>
      <c r="T17"/>
      <c r="U17"/>
      <c r="V17"/>
      <c r="W17"/>
      <c r="X17"/>
      <c r="Y17"/>
      <c r="Z17"/>
    </row>
    <row r="18" spans="2:26" ht="26.1" customHeight="1" x14ac:dyDescent="0.25">
      <c r="B18" s="84" t="s">
        <v>114</v>
      </c>
      <c r="C18" s="84"/>
      <c r="D18" s="84"/>
      <c r="E18" s="84"/>
      <c r="F18" s="84"/>
      <c r="G18" s="30"/>
      <c r="H18" s="30"/>
      <c r="I18" s="30"/>
      <c r="J18" s="30"/>
      <c r="K18" s="30"/>
      <c r="S18"/>
      <c r="T18"/>
      <c r="U18"/>
      <c r="V18"/>
      <c r="W18"/>
      <c r="X18"/>
      <c r="Y18"/>
      <c r="Z18"/>
    </row>
    <row r="19" spans="2:26" ht="27.95" customHeight="1" x14ac:dyDescent="0.25">
      <c r="B19" s="37" t="s">
        <v>115</v>
      </c>
      <c r="C19" s="37" t="s">
        <v>43</v>
      </c>
      <c r="D19" s="37" t="s">
        <v>116</v>
      </c>
      <c r="E19" s="37"/>
      <c r="F19" s="37" t="s">
        <v>117</v>
      </c>
      <c r="G19" s="38"/>
      <c r="H19" s="38"/>
      <c r="I19" s="38"/>
      <c r="J19" s="38"/>
      <c r="K19" s="38"/>
      <c r="S19"/>
      <c r="T19"/>
      <c r="U19"/>
      <c r="V19"/>
      <c r="W19"/>
      <c r="X19"/>
      <c r="Y19"/>
      <c r="Z19"/>
    </row>
    <row r="20" spans="2:26" ht="15" customHeight="1" x14ac:dyDescent="0.25">
      <c r="B20" s="22" t="s">
        <v>118</v>
      </c>
      <c r="S20"/>
      <c r="T20"/>
      <c r="U20"/>
      <c r="V20"/>
      <c r="W20"/>
      <c r="X20"/>
      <c r="Y20"/>
      <c r="Z20"/>
    </row>
    <row r="21" spans="2:26" ht="15" customHeight="1" x14ac:dyDescent="0.25">
      <c r="S21"/>
      <c r="T21"/>
      <c r="U21"/>
      <c r="V21"/>
      <c r="W21"/>
      <c r="X21"/>
      <c r="Y21"/>
      <c r="Z21"/>
    </row>
    <row r="22" spans="2:26" ht="15" customHeight="1" x14ac:dyDescent="0.25">
      <c r="B22" s="29" t="s">
        <v>119</v>
      </c>
      <c r="S22"/>
      <c r="T22"/>
      <c r="U22"/>
      <c r="V22"/>
      <c r="W22"/>
      <c r="X22"/>
      <c r="Y22"/>
      <c r="Z22"/>
    </row>
    <row r="23" spans="2:26" ht="24" customHeight="1" x14ac:dyDescent="0.25">
      <c r="B23" s="29" t="s">
        <v>120</v>
      </c>
      <c r="S23"/>
      <c r="T23"/>
      <c r="U23"/>
      <c r="V23"/>
      <c r="W23"/>
      <c r="X23"/>
      <c r="Y23"/>
      <c r="Z23"/>
    </row>
    <row r="24" spans="2:26" ht="15" customHeight="1" x14ac:dyDescent="0.25">
      <c r="S24"/>
      <c r="T24"/>
      <c r="U24"/>
      <c r="V24"/>
      <c r="W24"/>
      <c r="X24"/>
      <c r="Y24"/>
      <c r="Z24"/>
    </row>
    <row r="25" spans="2:26" ht="15" customHeight="1" x14ac:dyDescent="0.25">
      <c r="S25"/>
      <c r="T25"/>
      <c r="U25"/>
      <c r="V25"/>
      <c r="W25"/>
      <c r="X25"/>
      <c r="Y25"/>
      <c r="Z25"/>
    </row>
    <row r="26" spans="2:26" ht="15" customHeight="1" x14ac:dyDescent="0.25">
      <c r="S26"/>
      <c r="T26"/>
      <c r="U26"/>
      <c r="V26"/>
      <c r="W26"/>
      <c r="X26"/>
      <c r="Y26"/>
      <c r="Z26"/>
    </row>
    <row r="27" spans="2:26" ht="15" customHeight="1" x14ac:dyDescent="0.25">
      <c r="S27"/>
      <c r="T27"/>
      <c r="U27"/>
      <c r="V27"/>
      <c r="W27"/>
      <c r="X27"/>
      <c r="Y27"/>
      <c r="Z27"/>
    </row>
    <row r="28" spans="2:26" ht="15" customHeight="1" x14ac:dyDescent="0.25">
      <c r="S28"/>
      <c r="T28"/>
      <c r="U28"/>
      <c r="V28"/>
      <c r="W28"/>
      <c r="X28"/>
      <c r="Y28"/>
      <c r="Z28"/>
    </row>
    <row r="29" spans="2:26" ht="15" customHeight="1" x14ac:dyDescent="0.25">
      <c r="S29"/>
      <c r="T29"/>
      <c r="U29"/>
      <c r="V29"/>
      <c r="W29"/>
      <c r="X29"/>
      <c r="Y29"/>
      <c r="Z29"/>
    </row>
    <row r="30" spans="2:26" ht="15" customHeight="1" x14ac:dyDescent="0.25">
      <c r="S30"/>
      <c r="T30"/>
      <c r="U30"/>
      <c r="V30"/>
      <c r="W30"/>
      <c r="X30"/>
      <c r="Y30"/>
      <c r="Z30"/>
    </row>
    <row r="31" spans="2:26" ht="15" customHeight="1" x14ac:dyDescent="0.25">
      <c r="S31"/>
      <c r="T31"/>
      <c r="U31"/>
      <c r="V31"/>
      <c r="W31"/>
      <c r="X31"/>
      <c r="Y31"/>
      <c r="Z31"/>
    </row>
    <row r="32" spans="2:26" ht="15" customHeight="1" x14ac:dyDescent="0.25">
      <c r="S32"/>
      <c r="T32"/>
      <c r="U32"/>
      <c r="V32"/>
      <c r="W32"/>
      <c r="X32"/>
      <c r="Y32"/>
      <c r="Z32"/>
    </row>
    <row r="33" spans="19:26" ht="15" customHeight="1" x14ac:dyDescent="0.25">
      <c r="S33"/>
      <c r="T33"/>
      <c r="U33"/>
      <c r="V33"/>
      <c r="W33"/>
      <c r="X33"/>
      <c r="Y33"/>
      <c r="Z33"/>
    </row>
    <row r="34" spans="19:26" ht="15" customHeight="1" x14ac:dyDescent="0.25">
      <c r="S34"/>
      <c r="T34"/>
      <c r="U34"/>
      <c r="V34"/>
      <c r="W34"/>
      <c r="X34"/>
      <c r="Y34"/>
      <c r="Z34"/>
    </row>
    <row r="35" spans="19:26" ht="15" customHeight="1" x14ac:dyDescent="0.25">
      <c r="S35"/>
      <c r="T35"/>
      <c r="U35"/>
      <c r="V35"/>
      <c r="W35"/>
      <c r="X35"/>
      <c r="Y35"/>
      <c r="Z35"/>
    </row>
    <row r="36" spans="19:26" ht="15" customHeight="1" x14ac:dyDescent="0.25">
      <c r="S36"/>
      <c r="T36"/>
      <c r="U36"/>
      <c r="V36"/>
      <c r="W36"/>
      <c r="X36"/>
      <c r="Y36"/>
      <c r="Z36"/>
    </row>
    <row r="37" spans="19:26" ht="15" customHeight="1" x14ac:dyDescent="0.25">
      <c r="S37"/>
      <c r="T37"/>
      <c r="U37"/>
      <c r="V37"/>
      <c r="W37"/>
      <c r="X37"/>
      <c r="Y37"/>
      <c r="Z37"/>
    </row>
    <row r="38" spans="19:26" ht="15" customHeight="1" x14ac:dyDescent="0.25">
      <c r="S38"/>
      <c r="T38"/>
      <c r="U38"/>
      <c r="V38"/>
      <c r="W38"/>
      <c r="X38"/>
      <c r="Y38"/>
      <c r="Z38"/>
    </row>
    <row r="39" spans="19:26" ht="15" customHeight="1" x14ac:dyDescent="0.25">
      <c r="S39"/>
      <c r="T39"/>
      <c r="U39"/>
      <c r="V39"/>
      <c r="W39"/>
      <c r="X39"/>
      <c r="Y39"/>
      <c r="Z39"/>
    </row>
    <row r="40" spans="19:26" ht="15" customHeight="1" x14ac:dyDescent="0.25">
      <c r="S40"/>
      <c r="T40"/>
      <c r="U40"/>
      <c r="V40"/>
      <c r="W40"/>
      <c r="X40"/>
      <c r="Y40"/>
      <c r="Z40"/>
    </row>
    <row r="41" spans="19:26" ht="15" customHeight="1" x14ac:dyDescent="0.25">
      <c r="S41"/>
      <c r="T41"/>
      <c r="U41"/>
      <c r="V41"/>
      <c r="W41"/>
      <c r="X41"/>
      <c r="Y41"/>
      <c r="Z41"/>
    </row>
    <row r="42" spans="19:26" ht="15" customHeight="1" x14ac:dyDescent="0.25">
      <c r="S42"/>
      <c r="T42"/>
      <c r="U42"/>
      <c r="V42"/>
      <c r="W42"/>
      <c r="X42"/>
      <c r="Y42"/>
      <c r="Z42"/>
    </row>
    <row r="43" spans="19:26" ht="15" customHeight="1" x14ac:dyDescent="0.25">
      <c r="S43"/>
      <c r="T43"/>
      <c r="U43"/>
      <c r="V43"/>
      <c r="W43"/>
      <c r="X43"/>
      <c r="Y43"/>
      <c r="Z43"/>
    </row>
    <row r="44" spans="19:26" ht="15" customHeight="1" x14ac:dyDescent="0.25">
      <c r="S44"/>
      <c r="T44"/>
      <c r="U44"/>
      <c r="V44"/>
      <c r="W44"/>
      <c r="X44"/>
      <c r="Y44"/>
      <c r="Z44"/>
    </row>
    <row r="45" spans="19:26" ht="15" customHeight="1" x14ac:dyDescent="0.25">
      <c r="S45"/>
      <c r="T45"/>
      <c r="U45"/>
      <c r="V45"/>
      <c r="W45"/>
      <c r="X45"/>
      <c r="Y45"/>
      <c r="Z45"/>
    </row>
    <row r="46" spans="19:26" ht="15" customHeight="1" x14ac:dyDescent="0.25">
      <c r="S46"/>
      <c r="T46"/>
      <c r="U46"/>
      <c r="V46"/>
      <c r="W46"/>
      <c r="X46"/>
      <c r="Y46"/>
      <c r="Z46"/>
    </row>
    <row r="47" spans="19:26" ht="15" customHeight="1" x14ac:dyDescent="0.25">
      <c r="S47"/>
      <c r="T47"/>
      <c r="U47"/>
      <c r="V47"/>
      <c r="W47"/>
      <c r="X47"/>
      <c r="Y47"/>
      <c r="Z47"/>
    </row>
    <row r="48" spans="19:26" ht="15" customHeight="1" x14ac:dyDescent="0.25">
      <c r="S48"/>
      <c r="T48"/>
      <c r="U48"/>
      <c r="V48"/>
      <c r="W48"/>
      <c r="X48"/>
      <c r="Y48"/>
      <c r="Z48"/>
    </row>
    <row r="49" spans="19:26" ht="15" customHeight="1" x14ac:dyDescent="0.25">
      <c r="S49"/>
      <c r="T49"/>
      <c r="U49"/>
      <c r="V49"/>
      <c r="W49"/>
      <c r="X49"/>
      <c r="Y49"/>
      <c r="Z49"/>
    </row>
    <row r="50" spans="19:26" ht="15" customHeight="1" x14ac:dyDescent="0.25">
      <c r="S50"/>
      <c r="T50"/>
      <c r="U50"/>
      <c r="V50"/>
      <c r="W50"/>
      <c r="X50"/>
      <c r="Y50"/>
      <c r="Z50"/>
    </row>
    <row r="51" spans="19:26" ht="15" customHeight="1" x14ac:dyDescent="0.25">
      <c r="S51"/>
      <c r="T51"/>
      <c r="U51"/>
      <c r="V51"/>
      <c r="W51"/>
      <c r="X51"/>
      <c r="Y51"/>
      <c r="Z51"/>
    </row>
    <row r="52" spans="19:26" ht="15" customHeight="1" x14ac:dyDescent="0.25">
      <c r="S52"/>
      <c r="T52"/>
      <c r="U52"/>
      <c r="V52"/>
      <c r="W52"/>
      <c r="X52"/>
      <c r="Y52"/>
      <c r="Z52"/>
    </row>
    <row r="53" spans="19:26" ht="15" customHeight="1" x14ac:dyDescent="0.25">
      <c r="S53"/>
      <c r="T53"/>
      <c r="U53"/>
      <c r="V53"/>
      <c r="W53"/>
      <c r="X53"/>
      <c r="Y53"/>
      <c r="Z53"/>
    </row>
    <row r="54" spans="19:26" ht="15" customHeight="1" x14ac:dyDescent="0.25">
      <c r="S54"/>
      <c r="T54"/>
      <c r="U54"/>
      <c r="V54"/>
      <c r="W54"/>
      <c r="X54"/>
      <c r="Y54"/>
      <c r="Z54"/>
    </row>
    <row r="55" spans="19:26" ht="15" customHeight="1" x14ac:dyDescent="0.25">
      <c r="S55"/>
      <c r="T55"/>
      <c r="U55"/>
      <c r="V55"/>
      <c r="W55"/>
      <c r="X55"/>
      <c r="Y55"/>
      <c r="Z55"/>
    </row>
    <row r="56" spans="19:26" ht="15" customHeight="1" x14ac:dyDescent="0.25">
      <c r="S56"/>
      <c r="T56"/>
      <c r="U56"/>
      <c r="V56"/>
      <c r="W56"/>
      <c r="X56"/>
      <c r="Y56"/>
      <c r="Z56"/>
    </row>
    <row r="57" spans="19:26" ht="15" customHeight="1" x14ac:dyDescent="0.25">
      <c r="S57"/>
      <c r="T57"/>
      <c r="U57"/>
      <c r="V57"/>
      <c r="W57"/>
      <c r="X57"/>
      <c r="Y57"/>
      <c r="Z57"/>
    </row>
    <row r="58" spans="19:26" ht="15" customHeight="1" x14ac:dyDescent="0.25">
      <c r="S58"/>
      <c r="T58"/>
      <c r="U58"/>
      <c r="V58"/>
      <c r="W58"/>
      <c r="X58"/>
      <c r="Y58"/>
      <c r="Z58"/>
    </row>
    <row r="59" spans="19:26" ht="15" customHeight="1" x14ac:dyDescent="0.25">
      <c r="S59"/>
      <c r="T59"/>
      <c r="U59"/>
      <c r="V59"/>
      <c r="W59"/>
      <c r="X59"/>
      <c r="Y59"/>
      <c r="Z59"/>
    </row>
    <row r="60" spans="19:26" ht="15" customHeight="1" x14ac:dyDescent="0.25">
      <c r="S60"/>
      <c r="T60"/>
      <c r="U60"/>
      <c r="V60"/>
      <c r="W60"/>
      <c r="X60"/>
      <c r="Y60"/>
      <c r="Z60"/>
    </row>
    <row r="61" spans="19:26" ht="15" customHeight="1" x14ac:dyDescent="0.25">
      <c r="S61"/>
      <c r="T61"/>
      <c r="U61"/>
      <c r="V61"/>
      <c r="W61"/>
      <c r="X61"/>
      <c r="Y61"/>
      <c r="Z61"/>
    </row>
    <row r="62" spans="19:26" ht="15" customHeight="1" x14ac:dyDescent="0.25">
      <c r="S62"/>
      <c r="T62"/>
      <c r="U62"/>
      <c r="V62"/>
      <c r="W62"/>
      <c r="X62"/>
      <c r="Y62"/>
      <c r="Z62"/>
    </row>
    <row r="63" spans="19:26" ht="15" customHeight="1" x14ac:dyDescent="0.25">
      <c r="S63"/>
      <c r="T63"/>
      <c r="U63"/>
      <c r="V63"/>
      <c r="W63"/>
      <c r="X63"/>
      <c r="Y63"/>
      <c r="Z63"/>
    </row>
    <row r="64" spans="19:26" ht="15" customHeight="1" x14ac:dyDescent="0.25">
      <c r="S64"/>
      <c r="T64"/>
      <c r="U64"/>
      <c r="V64"/>
      <c r="W64"/>
      <c r="X64"/>
      <c r="Y64"/>
      <c r="Z64"/>
    </row>
    <row r="65" spans="19:26" ht="15" customHeight="1" x14ac:dyDescent="0.25">
      <c r="S65"/>
      <c r="T65"/>
      <c r="U65"/>
      <c r="V65"/>
      <c r="W65"/>
      <c r="X65"/>
      <c r="Y65"/>
      <c r="Z65"/>
    </row>
    <row r="66" spans="19:26" ht="15" customHeight="1" x14ac:dyDescent="0.25">
      <c r="S66"/>
      <c r="T66"/>
      <c r="U66"/>
      <c r="V66"/>
      <c r="W66"/>
      <c r="X66"/>
      <c r="Y66"/>
      <c r="Z66"/>
    </row>
    <row r="67" spans="19:26" ht="15" customHeight="1" x14ac:dyDescent="0.25">
      <c r="S67"/>
      <c r="T67"/>
      <c r="U67"/>
      <c r="V67"/>
      <c r="W67"/>
      <c r="X67"/>
      <c r="Y67"/>
      <c r="Z67"/>
    </row>
    <row r="68" spans="19:26" ht="15" customHeight="1" x14ac:dyDescent="0.25">
      <c r="S68"/>
      <c r="T68"/>
      <c r="U68"/>
      <c r="V68"/>
      <c r="W68"/>
      <c r="X68"/>
      <c r="Y68"/>
      <c r="Z68"/>
    </row>
    <row r="69" spans="19:26" ht="15" customHeight="1" x14ac:dyDescent="0.25">
      <c r="S69"/>
      <c r="T69"/>
      <c r="U69"/>
      <c r="V69"/>
      <c r="W69"/>
      <c r="X69"/>
      <c r="Y69"/>
      <c r="Z69"/>
    </row>
    <row r="70" spans="19:26" ht="15" customHeight="1" x14ac:dyDescent="0.25">
      <c r="S70"/>
      <c r="T70"/>
      <c r="U70"/>
      <c r="V70"/>
      <c r="W70"/>
      <c r="X70"/>
      <c r="Y70"/>
      <c r="Z70"/>
    </row>
    <row r="71" spans="19:26" ht="15" customHeight="1" x14ac:dyDescent="0.25">
      <c r="S71"/>
      <c r="T71"/>
      <c r="U71"/>
      <c r="V71"/>
      <c r="W71"/>
      <c r="X71"/>
      <c r="Y71"/>
      <c r="Z71"/>
    </row>
    <row r="72" spans="19:26" ht="15" customHeight="1" x14ac:dyDescent="0.25">
      <c r="S72"/>
      <c r="T72"/>
      <c r="U72"/>
      <c r="V72"/>
      <c r="W72"/>
      <c r="X72"/>
      <c r="Y72"/>
      <c r="Z72"/>
    </row>
    <row r="73" spans="19:26" ht="15" customHeight="1" x14ac:dyDescent="0.25">
      <c r="S73"/>
      <c r="T73"/>
      <c r="U73"/>
      <c r="V73"/>
      <c r="W73"/>
      <c r="X73"/>
      <c r="Y73"/>
      <c r="Z73"/>
    </row>
    <row r="74" spans="19:26" ht="15" customHeight="1" x14ac:dyDescent="0.25">
      <c r="S74"/>
      <c r="T74"/>
      <c r="U74"/>
      <c r="V74"/>
      <c r="W74"/>
      <c r="X74"/>
      <c r="Y74"/>
      <c r="Z74"/>
    </row>
    <row r="75" spans="19:26" ht="15" customHeight="1" x14ac:dyDescent="0.25">
      <c r="S75"/>
      <c r="T75"/>
      <c r="U75"/>
      <c r="V75"/>
      <c r="W75"/>
      <c r="X75"/>
      <c r="Y75"/>
      <c r="Z75"/>
    </row>
    <row r="76" spans="19:26" ht="15" customHeight="1" x14ac:dyDescent="0.25">
      <c r="S76"/>
      <c r="T76"/>
      <c r="U76"/>
      <c r="V76"/>
      <c r="W76"/>
      <c r="X76"/>
      <c r="Y76"/>
      <c r="Z76"/>
    </row>
    <row r="77" spans="19:26" ht="15" customHeight="1" x14ac:dyDescent="0.25">
      <c r="S77"/>
      <c r="T77"/>
      <c r="U77"/>
      <c r="V77"/>
      <c r="W77"/>
      <c r="X77"/>
      <c r="Y77"/>
      <c r="Z77"/>
    </row>
    <row r="78" spans="19:26" ht="15" customHeight="1" x14ac:dyDescent="0.25">
      <c r="S78"/>
      <c r="T78"/>
      <c r="U78"/>
      <c r="V78"/>
      <c r="W78"/>
      <c r="X78"/>
      <c r="Y78"/>
      <c r="Z78"/>
    </row>
    <row r="79" spans="19:26" ht="15" customHeight="1" x14ac:dyDescent="0.25">
      <c r="S79"/>
      <c r="T79"/>
      <c r="U79"/>
      <c r="V79"/>
      <c r="W79"/>
      <c r="X79"/>
      <c r="Y79"/>
      <c r="Z79"/>
    </row>
    <row r="80" spans="19:26" ht="15" customHeight="1" x14ac:dyDescent="0.25">
      <c r="S80"/>
      <c r="T80"/>
      <c r="U80"/>
      <c r="V80"/>
      <c r="W80"/>
      <c r="X80"/>
      <c r="Y80"/>
      <c r="Z80"/>
    </row>
    <row r="81" spans="19:26" ht="15" customHeight="1" x14ac:dyDescent="0.25">
      <c r="S81"/>
      <c r="T81"/>
      <c r="U81"/>
      <c r="V81"/>
      <c r="W81"/>
      <c r="X81"/>
      <c r="Y81"/>
      <c r="Z81"/>
    </row>
    <row r="82" spans="19:26" ht="15" customHeight="1" x14ac:dyDescent="0.25">
      <c r="S82"/>
      <c r="T82"/>
      <c r="U82"/>
      <c r="V82"/>
      <c r="W82"/>
      <c r="X82"/>
      <c r="Y82"/>
      <c r="Z82"/>
    </row>
    <row r="83" spans="19:26" ht="15" customHeight="1" x14ac:dyDescent="0.25">
      <c r="S83"/>
      <c r="T83"/>
      <c r="U83"/>
      <c r="V83"/>
      <c r="W83"/>
      <c r="X83"/>
      <c r="Y83"/>
      <c r="Z83"/>
    </row>
    <row r="84" spans="19:26" ht="15" customHeight="1" x14ac:dyDescent="0.25">
      <c r="S84"/>
      <c r="T84"/>
      <c r="U84"/>
      <c r="V84"/>
      <c r="W84"/>
      <c r="X84"/>
      <c r="Y84"/>
      <c r="Z84"/>
    </row>
    <row r="85" spans="19:26" ht="15" customHeight="1" x14ac:dyDescent="0.25">
      <c r="S85"/>
      <c r="T85"/>
      <c r="U85"/>
      <c r="V85"/>
      <c r="W85"/>
      <c r="X85"/>
      <c r="Y85"/>
      <c r="Z85"/>
    </row>
    <row r="86" spans="19:26" ht="15" customHeight="1" x14ac:dyDescent="0.25">
      <c r="S86"/>
      <c r="T86"/>
      <c r="U86"/>
      <c r="V86"/>
      <c r="W86"/>
      <c r="X86"/>
      <c r="Y86"/>
      <c r="Z86"/>
    </row>
    <row r="87" spans="19:26" ht="15" customHeight="1" x14ac:dyDescent="0.25">
      <c r="S87"/>
      <c r="T87"/>
      <c r="U87"/>
      <c r="V87"/>
      <c r="W87"/>
      <c r="X87"/>
      <c r="Y87"/>
      <c r="Z87"/>
    </row>
    <row r="88" spans="19:26" ht="15" customHeight="1" x14ac:dyDescent="0.25">
      <c r="S88"/>
      <c r="T88"/>
      <c r="U88"/>
      <c r="V88"/>
      <c r="W88"/>
      <c r="X88"/>
      <c r="Y88"/>
      <c r="Z88"/>
    </row>
    <row r="89" spans="19:26" ht="15" customHeight="1" x14ac:dyDescent="0.25">
      <c r="S89"/>
      <c r="T89"/>
      <c r="U89"/>
      <c r="V89"/>
      <c r="W89"/>
      <c r="X89"/>
      <c r="Y89"/>
      <c r="Z89"/>
    </row>
    <row r="90" spans="19:26" ht="15" customHeight="1" x14ac:dyDescent="0.25">
      <c r="S90"/>
      <c r="T90"/>
      <c r="U90"/>
      <c r="V90"/>
      <c r="W90"/>
      <c r="X90"/>
      <c r="Y90"/>
      <c r="Z90"/>
    </row>
    <row r="91" spans="19:26" ht="15" customHeight="1" x14ac:dyDescent="0.25">
      <c r="S91"/>
      <c r="T91"/>
      <c r="U91"/>
      <c r="V91"/>
      <c r="W91"/>
      <c r="X91"/>
      <c r="Y91"/>
      <c r="Z91"/>
    </row>
    <row r="92" spans="19:26" ht="15" customHeight="1" x14ac:dyDescent="0.25">
      <c r="S92"/>
      <c r="T92"/>
      <c r="U92"/>
      <c r="V92"/>
      <c r="W92"/>
      <c r="X92"/>
      <c r="Y92"/>
      <c r="Z92"/>
    </row>
    <row r="93" spans="19:26" ht="15" customHeight="1" x14ac:dyDescent="0.25">
      <c r="S93"/>
      <c r="T93"/>
      <c r="U93"/>
      <c r="V93"/>
      <c r="W93"/>
      <c r="X93"/>
      <c r="Y93"/>
      <c r="Z93"/>
    </row>
    <row r="94" spans="19:26" ht="15" customHeight="1" x14ac:dyDescent="0.25">
      <c r="S94"/>
      <c r="T94"/>
      <c r="U94"/>
      <c r="V94"/>
      <c r="W94"/>
      <c r="X94"/>
      <c r="Y94"/>
      <c r="Z94"/>
    </row>
    <row r="95" spans="19:26" ht="15" customHeight="1" x14ac:dyDescent="0.25">
      <c r="S95"/>
      <c r="T95"/>
      <c r="U95"/>
      <c r="V95"/>
      <c r="W95"/>
      <c r="X95"/>
      <c r="Y95"/>
      <c r="Z95"/>
    </row>
    <row r="96" spans="19:26" ht="15" customHeight="1" x14ac:dyDescent="0.25">
      <c r="S96"/>
      <c r="T96"/>
      <c r="U96"/>
      <c r="V96"/>
      <c r="W96"/>
      <c r="X96"/>
      <c r="Y96"/>
      <c r="Z96"/>
    </row>
    <row r="97" spans="19:26" ht="15" customHeight="1" x14ac:dyDescent="0.25">
      <c r="S97"/>
      <c r="T97"/>
      <c r="U97"/>
      <c r="V97"/>
      <c r="W97"/>
      <c r="X97"/>
      <c r="Y97"/>
      <c r="Z97"/>
    </row>
    <row r="98" spans="19:26" ht="15" customHeight="1" x14ac:dyDescent="0.25">
      <c r="S98"/>
      <c r="T98"/>
      <c r="U98"/>
      <c r="V98"/>
      <c r="W98"/>
      <c r="X98"/>
      <c r="Y98"/>
      <c r="Z98"/>
    </row>
    <row r="99" spans="19:26" ht="15" customHeight="1" x14ac:dyDescent="0.25">
      <c r="S99"/>
      <c r="T99"/>
      <c r="U99"/>
      <c r="V99"/>
      <c r="W99"/>
      <c r="X99"/>
      <c r="Y99"/>
      <c r="Z99"/>
    </row>
    <row r="100" spans="19:26" ht="15" customHeight="1" x14ac:dyDescent="0.25">
      <c r="S100"/>
      <c r="T100"/>
      <c r="U100"/>
      <c r="V100"/>
      <c r="W100"/>
      <c r="X100"/>
      <c r="Y100"/>
      <c r="Z100"/>
    </row>
    <row r="101" spans="19:26" ht="15" customHeight="1" x14ac:dyDescent="0.25">
      <c r="S101"/>
      <c r="T101"/>
      <c r="U101"/>
      <c r="V101"/>
      <c r="W101"/>
      <c r="X101"/>
      <c r="Y101"/>
      <c r="Z101"/>
    </row>
    <row r="102" spans="19:26" ht="15" customHeight="1" x14ac:dyDescent="0.25">
      <c r="S102"/>
      <c r="T102"/>
      <c r="U102"/>
      <c r="V102"/>
      <c r="W102"/>
      <c r="X102"/>
      <c r="Y102"/>
      <c r="Z102"/>
    </row>
    <row r="103" spans="19:26" ht="15" customHeight="1" x14ac:dyDescent="0.25">
      <c r="S103"/>
      <c r="T103"/>
      <c r="U103"/>
      <c r="V103"/>
      <c r="W103"/>
      <c r="X103"/>
      <c r="Y103"/>
      <c r="Z103"/>
    </row>
    <row r="104" spans="19:26" ht="15" customHeight="1" x14ac:dyDescent="0.25">
      <c r="S104"/>
      <c r="T104"/>
      <c r="U104"/>
      <c r="V104"/>
      <c r="W104"/>
      <c r="X104"/>
      <c r="Y104"/>
      <c r="Z104"/>
    </row>
    <row r="105" spans="19:26" ht="15" customHeight="1" x14ac:dyDescent="0.25">
      <c r="S105"/>
      <c r="T105"/>
      <c r="U105"/>
      <c r="V105"/>
      <c r="W105"/>
      <c r="X105"/>
      <c r="Y105"/>
      <c r="Z105"/>
    </row>
    <row r="106" spans="19:26" ht="15" customHeight="1" x14ac:dyDescent="0.25">
      <c r="S106"/>
      <c r="T106"/>
      <c r="U106"/>
      <c r="V106"/>
      <c r="W106"/>
      <c r="X106"/>
      <c r="Y106"/>
      <c r="Z106"/>
    </row>
    <row r="107" spans="19:26" ht="15" customHeight="1" x14ac:dyDescent="0.25">
      <c r="S107"/>
      <c r="T107"/>
      <c r="U107"/>
      <c r="V107"/>
      <c r="W107"/>
      <c r="X107"/>
      <c r="Y107"/>
      <c r="Z107"/>
    </row>
    <row r="108" spans="19:26" ht="15" customHeight="1" x14ac:dyDescent="0.25">
      <c r="S108"/>
      <c r="T108"/>
      <c r="U108"/>
      <c r="V108"/>
      <c r="W108"/>
      <c r="X108"/>
      <c r="Y108"/>
      <c r="Z108"/>
    </row>
    <row r="109" spans="19:26" ht="15" customHeight="1" x14ac:dyDescent="0.25">
      <c r="S109"/>
      <c r="T109"/>
      <c r="U109"/>
      <c r="V109"/>
      <c r="W109"/>
      <c r="X109"/>
      <c r="Y109"/>
      <c r="Z109"/>
    </row>
    <row r="110" spans="19:26" ht="15" customHeight="1" x14ac:dyDescent="0.25">
      <c r="S110"/>
      <c r="T110"/>
      <c r="U110"/>
      <c r="V110"/>
      <c r="W110"/>
      <c r="X110"/>
      <c r="Y110"/>
      <c r="Z110"/>
    </row>
    <row r="111" spans="19:26" ht="15" customHeight="1" x14ac:dyDescent="0.25">
      <c r="S111"/>
      <c r="T111"/>
      <c r="U111"/>
      <c r="V111"/>
      <c r="W111"/>
      <c r="X111"/>
      <c r="Y111"/>
      <c r="Z111"/>
    </row>
    <row r="112" spans="19:26" ht="15" customHeight="1" x14ac:dyDescent="0.25">
      <c r="S112"/>
      <c r="T112"/>
      <c r="U112"/>
      <c r="V112"/>
      <c r="W112"/>
      <c r="X112"/>
      <c r="Y112"/>
      <c r="Z112"/>
    </row>
    <row r="113" spans="19:26" ht="15" customHeight="1" x14ac:dyDescent="0.25">
      <c r="S113"/>
      <c r="T113"/>
      <c r="U113"/>
      <c r="V113"/>
      <c r="W113"/>
      <c r="X113"/>
      <c r="Y113"/>
      <c r="Z113"/>
    </row>
    <row r="114" spans="19:26" ht="15" customHeight="1" x14ac:dyDescent="0.25">
      <c r="S114"/>
      <c r="T114"/>
      <c r="U114"/>
      <c r="V114"/>
      <c r="W114"/>
      <c r="X114"/>
      <c r="Y114"/>
      <c r="Z114"/>
    </row>
    <row r="115" spans="19:26" ht="15" customHeight="1" x14ac:dyDescent="0.25">
      <c r="S115"/>
      <c r="T115"/>
      <c r="U115"/>
      <c r="V115"/>
      <c r="W115"/>
      <c r="X115"/>
      <c r="Y115"/>
      <c r="Z115"/>
    </row>
    <row r="116" spans="19:26" ht="15" customHeight="1" x14ac:dyDescent="0.25">
      <c r="S116"/>
      <c r="T116"/>
      <c r="U116"/>
      <c r="V116"/>
      <c r="W116"/>
      <c r="X116"/>
      <c r="Y116"/>
      <c r="Z116"/>
    </row>
    <row r="117" spans="19:26" ht="15" customHeight="1" x14ac:dyDescent="0.25">
      <c r="S117"/>
      <c r="T117"/>
      <c r="U117"/>
      <c r="V117"/>
      <c r="W117"/>
      <c r="X117"/>
      <c r="Y117"/>
      <c r="Z117"/>
    </row>
    <row r="118" spans="19:26" ht="15" customHeight="1" x14ac:dyDescent="0.25">
      <c r="S118"/>
      <c r="T118"/>
      <c r="U118"/>
      <c r="V118"/>
      <c r="W118"/>
      <c r="X118"/>
      <c r="Y118"/>
      <c r="Z118"/>
    </row>
    <row r="119" spans="19:26" ht="15" customHeight="1" x14ac:dyDescent="0.25">
      <c r="S119"/>
      <c r="T119"/>
      <c r="U119"/>
      <c r="V119"/>
      <c r="W119"/>
      <c r="X119"/>
      <c r="Y119"/>
      <c r="Z119"/>
    </row>
    <row r="120" spans="19:26" ht="15" customHeight="1" x14ac:dyDescent="0.25">
      <c r="S120"/>
      <c r="T120"/>
      <c r="U120"/>
      <c r="V120"/>
      <c r="W120"/>
      <c r="X120"/>
      <c r="Y120"/>
      <c r="Z120"/>
    </row>
    <row r="121" spans="19:26" ht="15" customHeight="1" x14ac:dyDescent="0.25">
      <c r="S121"/>
      <c r="T121"/>
      <c r="U121"/>
      <c r="V121"/>
      <c r="W121"/>
      <c r="X121"/>
      <c r="Y121"/>
      <c r="Z121"/>
    </row>
    <row r="122" spans="19:26" ht="15" customHeight="1" x14ac:dyDescent="0.25">
      <c r="S122"/>
      <c r="T122"/>
      <c r="U122"/>
      <c r="V122"/>
      <c r="W122"/>
      <c r="X122"/>
      <c r="Y122"/>
      <c r="Z122"/>
    </row>
    <row r="123" spans="19:26" ht="15" customHeight="1" x14ac:dyDescent="0.25">
      <c r="S123"/>
      <c r="T123"/>
      <c r="U123"/>
      <c r="V123"/>
      <c r="W123"/>
      <c r="X123"/>
      <c r="Y123"/>
      <c r="Z123"/>
    </row>
    <row r="124" spans="19:26" ht="15" customHeight="1" x14ac:dyDescent="0.25">
      <c r="S124"/>
      <c r="T124"/>
      <c r="U124"/>
      <c r="V124"/>
      <c r="W124"/>
      <c r="X124"/>
      <c r="Y124"/>
      <c r="Z124"/>
    </row>
    <row r="125" spans="19:26" ht="15" customHeight="1" x14ac:dyDescent="0.25">
      <c r="S125"/>
      <c r="T125"/>
      <c r="U125"/>
      <c r="V125"/>
      <c r="W125"/>
      <c r="X125"/>
      <c r="Y125"/>
      <c r="Z125"/>
    </row>
    <row r="126" spans="19:26" ht="15" customHeight="1" x14ac:dyDescent="0.25">
      <c r="S126"/>
      <c r="T126"/>
      <c r="U126"/>
      <c r="V126"/>
      <c r="W126"/>
      <c r="X126"/>
      <c r="Y126"/>
      <c r="Z126"/>
    </row>
    <row r="127" spans="19:26" ht="15" customHeight="1" x14ac:dyDescent="0.25">
      <c r="S127"/>
      <c r="T127"/>
      <c r="U127"/>
      <c r="V127"/>
      <c r="W127"/>
      <c r="X127"/>
      <c r="Y127"/>
      <c r="Z127"/>
    </row>
    <row r="128" spans="19:26" ht="15" customHeight="1" x14ac:dyDescent="0.25">
      <c r="S128"/>
      <c r="T128"/>
      <c r="U128"/>
      <c r="V128"/>
      <c r="W128"/>
      <c r="X128"/>
      <c r="Y128"/>
      <c r="Z128"/>
    </row>
    <row r="129" spans="19:26" ht="15" customHeight="1" x14ac:dyDescent="0.25">
      <c r="S129"/>
      <c r="T129"/>
      <c r="U129"/>
      <c r="V129"/>
      <c r="W129"/>
      <c r="X129"/>
      <c r="Y129"/>
      <c r="Z129"/>
    </row>
    <row r="130" spans="19:26" ht="15" customHeight="1" x14ac:dyDescent="0.25">
      <c r="S130"/>
      <c r="T130"/>
      <c r="U130"/>
      <c r="V130"/>
      <c r="W130"/>
      <c r="X130"/>
      <c r="Y130"/>
      <c r="Z130"/>
    </row>
    <row r="131" spans="19:26" ht="15" customHeight="1" x14ac:dyDescent="0.25">
      <c r="S131"/>
      <c r="T131"/>
      <c r="U131"/>
      <c r="V131"/>
      <c r="W131"/>
      <c r="X131"/>
      <c r="Y131"/>
      <c r="Z131"/>
    </row>
    <row r="132" spans="19:26" ht="15" customHeight="1" x14ac:dyDescent="0.25">
      <c r="S132"/>
      <c r="T132"/>
      <c r="U132"/>
      <c r="V132"/>
      <c r="W132"/>
      <c r="X132"/>
      <c r="Y132"/>
      <c r="Z132"/>
    </row>
    <row r="133" spans="19:26" ht="15" customHeight="1" x14ac:dyDescent="0.25">
      <c r="S133"/>
      <c r="T133"/>
      <c r="U133"/>
      <c r="V133"/>
      <c r="W133"/>
      <c r="X133"/>
      <c r="Y133"/>
      <c r="Z133"/>
    </row>
    <row r="134" spans="19:26" ht="15" customHeight="1" x14ac:dyDescent="0.25">
      <c r="S134"/>
      <c r="T134"/>
      <c r="U134"/>
      <c r="V134"/>
      <c r="W134"/>
      <c r="X134"/>
      <c r="Y134"/>
      <c r="Z134"/>
    </row>
    <row r="135" spans="19:26" ht="15" customHeight="1" x14ac:dyDescent="0.25">
      <c r="S135"/>
      <c r="T135"/>
      <c r="U135"/>
      <c r="V135"/>
      <c r="W135"/>
      <c r="X135"/>
      <c r="Y135"/>
      <c r="Z135"/>
    </row>
    <row r="136" spans="19:26" ht="15" customHeight="1" x14ac:dyDescent="0.25">
      <c r="S136"/>
      <c r="T136"/>
      <c r="U136"/>
      <c r="V136"/>
      <c r="W136"/>
      <c r="X136"/>
      <c r="Y136"/>
      <c r="Z136"/>
    </row>
    <row r="137" spans="19:26" ht="15" customHeight="1" x14ac:dyDescent="0.25">
      <c r="S137"/>
      <c r="T137"/>
      <c r="U137"/>
      <c r="V137"/>
      <c r="W137"/>
      <c r="X137"/>
      <c r="Y137"/>
      <c r="Z137"/>
    </row>
    <row r="138" spans="19:26" ht="15" customHeight="1" x14ac:dyDescent="0.25">
      <c r="S138"/>
      <c r="T138"/>
      <c r="U138"/>
      <c r="V138"/>
      <c r="W138"/>
      <c r="X138"/>
      <c r="Y138"/>
      <c r="Z138"/>
    </row>
    <row r="139" spans="19:26" ht="15" customHeight="1" x14ac:dyDescent="0.25">
      <c r="S139"/>
      <c r="T139"/>
      <c r="U139"/>
      <c r="V139"/>
      <c r="W139"/>
      <c r="X139"/>
      <c r="Y139"/>
      <c r="Z139"/>
    </row>
    <row r="140" spans="19:26" ht="15" customHeight="1" x14ac:dyDescent="0.25">
      <c r="S140"/>
      <c r="T140"/>
      <c r="U140"/>
      <c r="V140"/>
      <c r="W140"/>
      <c r="X140"/>
      <c r="Y140"/>
      <c r="Z140"/>
    </row>
    <row r="141" spans="19:26" ht="15" customHeight="1" x14ac:dyDescent="0.25">
      <c r="S141"/>
      <c r="T141"/>
      <c r="U141"/>
      <c r="V141"/>
      <c r="W141"/>
      <c r="X141"/>
      <c r="Y141"/>
      <c r="Z141"/>
    </row>
    <row r="142" spans="19:26" ht="15" customHeight="1" x14ac:dyDescent="0.25">
      <c r="S142"/>
      <c r="T142"/>
      <c r="U142"/>
      <c r="V142"/>
      <c r="W142"/>
      <c r="X142"/>
      <c r="Y142"/>
      <c r="Z142"/>
    </row>
    <row r="143" spans="19:26" ht="15" customHeight="1" x14ac:dyDescent="0.25">
      <c r="S143"/>
      <c r="T143"/>
      <c r="U143"/>
      <c r="V143"/>
      <c r="W143"/>
      <c r="X143"/>
      <c r="Y143"/>
      <c r="Z143"/>
    </row>
    <row r="144" spans="19:26" ht="15" customHeight="1" x14ac:dyDescent="0.25">
      <c r="S144"/>
      <c r="T144"/>
      <c r="U144"/>
      <c r="V144"/>
      <c r="W144"/>
      <c r="X144"/>
      <c r="Y144"/>
      <c r="Z144"/>
    </row>
    <row r="145" spans="19:26" ht="15" customHeight="1" x14ac:dyDescent="0.25">
      <c r="S145"/>
      <c r="T145"/>
      <c r="U145"/>
      <c r="V145"/>
      <c r="W145"/>
      <c r="X145"/>
      <c r="Y145"/>
      <c r="Z145"/>
    </row>
    <row r="146" spans="19:26" ht="15" customHeight="1" x14ac:dyDescent="0.25">
      <c r="S146"/>
      <c r="T146"/>
      <c r="U146"/>
      <c r="V146"/>
      <c r="W146"/>
      <c r="X146"/>
      <c r="Y146"/>
      <c r="Z146"/>
    </row>
    <row r="147" spans="19:26" ht="15" customHeight="1" x14ac:dyDescent="0.25">
      <c r="S147"/>
      <c r="T147"/>
      <c r="U147"/>
      <c r="V147"/>
      <c r="W147"/>
      <c r="X147"/>
      <c r="Y147"/>
      <c r="Z147"/>
    </row>
    <row r="148" spans="19:26" ht="15" customHeight="1" x14ac:dyDescent="0.25">
      <c r="S148"/>
      <c r="T148"/>
      <c r="U148"/>
      <c r="V148"/>
      <c r="W148"/>
      <c r="X148"/>
      <c r="Y148"/>
      <c r="Z148"/>
    </row>
    <row r="149" spans="19:26" ht="15" customHeight="1" x14ac:dyDescent="0.25">
      <c r="S149"/>
      <c r="T149"/>
      <c r="U149"/>
      <c r="V149"/>
      <c r="W149"/>
      <c r="X149"/>
      <c r="Y149"/>
      <c r="Z149"/>
    </row>
    <row r="150" spans="19:26" ht="15" customHeight="1" x14ac:dyDescent="0.25">
      <c r="S150"/>
      <c r="T150"/>
      <c r="U150"/>
      <c r="V150"/>
      <c r="W150"/>
      <c r="X150"/>
      <c r="Y150"/>
      <c r="Z150"/>
    </row>
    <row r="151" spans="19:26" ht="15" customHeight="1" x14ac:dyDescent="0.25">
      <c r="S151"/>
      <c r="T151"/>
      <c r="U151"/>
      <c r="V151"/>
      <c r="W151"/>
      <c r="X151"/>
      <c r="Y151"/>
      <c r="Z151"/>
    </row>
    <row r="152" spans="19:26" ht="15" customHeight="1" x14ac:dyDescent="0.25">
      <c r="S152"/>
      <c r="T152"/>
      <c r="U152"/>
      <c r="V152"/>
      <c r="W152"/>
      <c r="X152"/>
      <c r="Y152"/>
      <c r="Z152"/>
    </row>
    <row r="153" spans="19:26" ht="15" customHeight="1" x14ac:dyDescent="0.25">
      <c r="S153"/>
      <c r="T153"/>
      <c r="U153"/>
      <c r="V153"/>
      <c r="W153"/>
      <c r="X153"/>
      <c r="Y153"/>
      <c r="Z153"/>
    </row>
    <row r="154" spans="19:26" ht="15" customHeight="1" x14ac:dyDescent="0.25">
      <c r="S154"/>
      <c r="T154"/>
      <c r="U154"/>
      <c r="V154"/>
      <c r="W154"/>
      <c r="X154"/>
      <c r="Y154"/>
      <c r="Z154"/>
    </row>
    <row r="155" spans="19:26" ht="15" customHeight="1" x14ac:dyDescent="0.25">
      <c r="S155"/>
      <c r="T155"/>
      <c r="U155"/>
      <c r="V155"/>
      <c r="W155"/>
      <c r="X155"/>
      <c r="Y155"/>
      <c r="Z155"/>
    </row>
    <row r="156" spans="19:26" ht="15" customHeight="1" x14ac:dyDescent="0.25">
      <c r="S156"/>
      <c r="T156"/>
      <c r="U156"/>
      <c r="V156"/>
      <c r="W156"/>
      <c r="X156"/>
      <c r="Y156"/>
      <c r="Z156"/>
    </row>
    <row r="157" spans="19:26" ht="15" customHeight="1" x14ac:dyDescent="0.25">
      <c r="S157"/>
      <c r="T157"/>
      <c r="U157"/>
      <c r="V157"/>
      <c r="W157"/>
      <c r="X157"/>
      <c r="Y157"/>
      <c r="Z157"/>
    </row>
    <row r="158" spans="19:26" ht="15" customHeight="1" x14ac:dyDescent="0.25">
      <c r="S158"/>
      <c r="T158"/>
      <c r="U158"/>
      <c r="V158"/>
      <c r="W158"/>
      <c r="X158"/>
      <c r="Y158"/>
      <c r="Z158"/>
    </row>
    <row r="159" spans="19:26" ht="15" customHeight="1" x14ac:dyDescent="0.25">
      <c r="S159"/>
      <c r="T159"/>
      <c r="U159"/>
      <c r="V159"/>
      <c r="W159"/>
      <c r="X159"/>
      <c r="Y159"/>
      <c r="Z159"/>
    </row>
    <row r="160" spans="19:26" ht="15" customHeight="1" x14ac:dyDescent="0.25">
      <c r="S160"/>
      <c r="T160"/>
      <c r="U160"/>
      <c r="V160"/>
      <c r="W160"/>
      <c r="X160"/>
      <c r="Y160"/>
      <c r="Z160"/>
    </row>
    <row r="161" spans="19:26" ht="15" customHeight="1" x14ac:dyDescent="0.25">
      <c r="S161"/>
      <c r="T161"/>
      <c r="U161"/>
      <c r="V161"/>
      <c r="W161"/>
      <c r="X161"/>
      <c r="Y161"/>
      <c r="Z161"/>
    </row>
    <row r="162" spans="19:26" ht="15" customHeight="1" x14ac:dyDescent="0.25">
      <c r="S162"/>
      <c r="T162"/>
      <c r="U162"/>
      <c r="V162"/>
      <c r="W162"/>
      <c r="X162"/>
      <c r="Y162"/>
      <c r="Z162"/>
    </row>
    <row r="163" spans="19:26" ht="15" customHeight="1" x14ac:dyDescent="0.25">
      <c r="S163"/>
      <c r="T163"/>
      <c r="U163"/>
      <c r="V163"/>
      <c r="W163"/>
      <c r="X163"/>
      <c r="Y163"/>
      <c r="Z163"/>
    </row>
    <row r="164" spans="19:26" ht="15" customHeight="1" x14ac:dyDescent="0.25">
      <c r="S164"/>
      <c r="T164"/>
      <c r="U164"/>
      <c r="V164"/>
      <c r="W164"/>
      <c r="X164"/>
      <c r="Y164"/>
      <c r="Z164"/>
    </row>
    <row r="165" spans="19:26" ht="15" customHeight="1" x14ac:dyDescent="0.25">
      <c r="S165"/>
      <c r="T165"/>
      <c r="U165"/>
      <c r="V165"/>
      <c r="W165"/>
      <c r="X165"/>
      <c r="Y165"/>
      <c r="Z165"/>
    </row>
    <row r="166" spans="19:26" ht="15" customHeight="1" x14ac:dyDescent="0.25">
      <c r="S166"/>
      <c r="T166"/>
      <c r="U166"/>
      <c r="V166"/>
      <c r="W166"/>
      <c r="X166"/>
      <c r="Y166"/>
      <c r="Z166"/>
    </row>
    <row r="167" spans="19:26" ht="15" customHeight="1" x14ac:dyDescent="0.25">
      <c r="S167"/>
      <c r="T167"/>
      <c r="U167"/>
      <c r="V167"/>
      <c r="W167"/>
      <c r="X167"/>
      <c r="Y167"/>
      <c r="Z167"/>
    </row>
    <row r="168" spans="19:26" ht="15" customHeight="1" x14ac:dyDescent="0.25">
      <c r="S168"/>
      <c r="T168"/>
      <c r="U168"/>
      <c r="V168"/>
      <c r="W168"/>
      <c r="X168"/>
      <c r="Y168"/>
      <c r="Z168"/>
    </row>
    <row r="169" spans="19:26" ht="15" customHeight="1" x14ac:dyDescent="0.25">
      <c r="S169"/>
      <c r="T169"/>
      <c r="U169"/>
      <c r="V169"/>
      <c r="W169"/>
      <c r="X169"/>
      <c r="Y169"/>
      <c r="Z169"/>
    </row>
    <row r="170" spans="19:26" ht="15" customHeight="1" x14ac:dyDescent="0.25">
      <c r="S170"/>
      <c r="T170"/>
      <c r="U170"/>
      <c r="V170"/>
      <c r="W170"/>
      <c r="X170"/>
      <c r="Y170"/>
      <c r="Z170"/>
    </row>
    <row r="171" spans="19:26" ht="15" customHeight="1" x14ac:dyDescent="0.25">
      <c r="S171"/>
      <c r="T171"/>
      <c r="U171"/>
      <c r="V171"/>
      <c r="W171"/>
      <c r="X171"/>
      <c r="Y171"/>
      <c r="Z171"/>
    </row>
    <row r="172" spans="19:26" ht="15" customHeight="1" x14ac:dyDescent="0.25">
      <c r="S172"/>
      <c r="T172"/>
      <c r="U172"/>
      <c r="V172"/>
      <c r="W172"/>
      <c r="X172"/>
      <c r="Y172"/>
      <c r="Z172"/>
    </row>
    <row r="173" spans="19:26" ht="15" customHeight="1" x14ac:dyDescent="0.25">
      <c r="S173"/>
      <c r="T173"/>
      <c r="U173"/>
      <c r="V173"/>
      <c r="W173"/>
      <c r="X173"/>
      <c r="Y173"/>
      <c r="Z173"/>
    </row>
    <row r="174" spans="19:26" ht="15" customHeight="1" x14ac:dyDescent="0.25">
      <c r="S174"/>
      <c r="T174"/>
      <c r="U174"/>
      <c r="V174"/>
      <c r="W174"/>
      <c r="X174"/>
      <c r="Y174"/>
      <c r="Z174"/>
    </row>
    <row r="175" spans="19:26" ht="15" customHeight="1" x14ac:dyDescent="0.25">
      <c r="S175"/>
      <c r="T175"/>
      <c r="U175"/>
      <c r="V175"/>
      <c r="W175"/>
      <c r="X175"/>
      <c r="Y175"/>
      <c r="Z175"/>
    </row>
    <row r="176" spans="19:26" ht="15" customHeight="1" x14ac:dyDescent="0.25">
      <c r="S176"/>
      <c r="T176"/>
      <c r="U176"/>
      <c r="V176"/>
      <c r="W176"/>
      <c r="X176"/>
      <c r="Y176"/>
      <c r="Z176"/>
    </row>
    <row r="177" spans="19:26" ht="15" customHeight="1" x14ac:dyDescent="0.25">
      <c r="S177"/>
      <c r="T177"/>
      <c r="U177"/>
      <c r="V177"/>
      <c r="W177"/>
      <c r="X177"/>
      <c r="Y177"/>
      <c r="Z177"/>
    </row>
    <row r="178" spans="19:26" ht="15" customHeight="1" x14ac:dyDescent="0.25">
      <c r="S178"/>
      <c r="T178"/>
      <c r="U178"/>
      <c r="V178"/>
      <c r="W178"/>
      <c r="X178"/>
      <c r="Y178"/>
      <c r="Z178"/>
    </row>
    <row r="179" spans="19:26" ht="15" customHeight="1" x14ac:dyDescent="0.25">
      <c r="S179"/>
      <c r="T179"/>
      <c r="U179"/>
      <c r="V179"/>
      <c r="W179"/>
      <c r="X179"/>
      <c r="Y179"/>
      <c r="Z179"/>
    </row>
    <row r="180" spans="19:26" ht="15" customHeight="1" x14ac:dyDescent="0.25">
      <c r="S180"/>
      <c r="T180"/>
      <c r="U180"/>
      <c r="V180"/>
      <c r="W180"/>
      <c r="X180"/>
      <c r="Y180"/>
      <c r="Z180"/>
    </row>
    <row r="181" spans="19:26" ht="15" customHeight="1" x14ac:dyDescent="0.25">
      <c r="S181"/>
      <c r="T181"/>
      <c r="U181"/>
      <c r="V181"/>
      <c r="W181"/>
      <c r="X181"/>
      <c r="Y181"/>
      <c r="Z181"/>
    </row>
    <row r="182" spans="19:26" ht="15" customHeight="1" x14ac:dyDescent="0.25">
      <c r="S182"/>
      <c r="T182"/>
      <c r="U182"/>
      <c r="V182"/>
      <c r="W182"/>
      <c r="X182"/>
      <c r="Y182"/>
      <c r="Z182"/>
    </row>
    <row r="183" spans="19:26" ht="15" customHeight="1" x14ac:dyDescent="0.25">
      <c r="S183"/>
      <c r="T183"/>
      <c r="U183"/>
      <c r="V183"/>
      <c r="W183"/>
      <c r="X183"/>
      <c r="Y183"/>
      <c r="Z183"/>
    </row>
    <row r="184" spans="19:26" ht="15" customHeight="1" x14ac:dyDescent="0.25">
      <c r="S184"/>
      <c r="T184"/>
      <c r="U184"/>
      <c r="V184"/>
      <c r="W184"/>
      <c r="X184"/>
      <c r="Y184"/>
      <c r="Z184"/>
    </row>
    <row r="185" spans="19:26" ht="15" customHeight="1" x14ac:dyDescent="0.25">
      <c r="S185"/>
      <c r="T185"/>
      <c r="U185"/>
      <c r="V185"/>
      <c r="W185"/>
      <c r="X185"/>
      <c r="Y185"/>
      <c r="Z185"/>
    </row>
    <row r="186" spans="19:26" ht="15" customHeight="1" x14ac:dyDescent="0.25">
      <c r="S186"/>
      <c r="T186"/>
      <c r="U186"/>
      <c r="V186"/>
      <c r="W186"/>
      <c r="X186"/>
      <c r="Y186"/>
      <c r="Z186"/>
    </row>
    <row r="187" spans="19:26" ht="15" customHeight="1" x14ac:dyDescent="0.25">
      <c r="S187"/>
      <c r="T187"/>
      <c r="U187"/>
      <c r="V187"/>
      <c r="W187"/>
      <c r="X187"/>
      <c r="Y187"/>
      <c r="Z187"/>
    </row>
    <row r="188" spans="19:26" ht="15" customHeight="1" x14ac:dyDescent="0.25">
      <c r="S188"/>
      <c r="T188"/>
      <c r="U188"/>
      <c r="V188"/>
      <c r="W188"/>
      <c r="X188"/>
      <c r="Y188"/>
      <c r="Z188"/>
    </row>
    <row r="189" spans="19:26" ht="15" customHeight="1" x14ac:dyDescent="0.25">
      <c r="S189"/>
      <c r="T189"/>
      <c r="U189"/>
      <c r="V189"/>
      <c r="W189"/>
      <c r="X189"/>
      <c r="Y189"/>
      <c r="Z189"/>
    </row>
    <row r="190" spans="19:26" ht="15" customHeight="1" x14ac:dyDescent="0.25">
      <c r="S190"/>
      <c r="T190"/>
      <c r="U190"/>
      <c r="V190"/>
      <c r="W190"/>
      <c r="X190"/>
      <c r="Y190"/>
      <c r="Z190"/>
    </row>
    <row r="191" spans="19:26" ht="15" customHeight="1" x14ac:dyDescent="0.25">
      <c r="S191"/>
      <c r="T191"/>
      <c r="U191"/>
      <c r="V191"/>
      <c r="W191"/>
      <c r="X191"/>
      <c r="Y191"/>
      <c r="Z191"/>
    </row>
    <row r="192" spans="19:26" ht="15" customHeight="1" x14ac:dyDescent="0.25">
      <c r="S192"/>
      <c r="T192"/>
      <c r="U192"/>
      <c r="V192"/>
      <c r="W192"/>
      <c r="X192"/>
      <c r="Y192"/>
      <c r="Z192"/>
    </row>
    <row r="193" spans="19:26" ht="15" customHeight="1" x14ac:dyDescent="0.25">
      <c r="S193"/>
      <c r="T193"/>
      <c r="U193"/>
      <c r="V193"/>
      <c r="W193"/>
      <c r="X193"/>
      <c r="Y193"/>
      <c r="Z193"/>
    </row>
    <row r="194" spans="19:26" ht="15" customHeight="1" x14ac:dyDescent="0.25">
      <c r="S194"/>
      <c r="T194"/>
      <c r="U194"/>
      <c r="V194"/>
      <c r="W194"/>
      <c r="X194"/>
      <c r="Y194"/>
      <c r="Z194"/>
    </row>
    <row r="195" spans="19:26" ht="15" customHeight="1" x14ac:dyDescent="0.25">
      <c r="S195"/>
      <c r="T195"/>
      <c r="U195"/>
      <c r="V195"/>
      <c r="W195"/>
      <c r="X195"/>
      <c r="Y195"/>
      <c r="Z195"/>
    </row>
    <row r="196" spans="19:26" ht="15" customHeight="1" x14ac:dyDescent="0.25">
      <c r="S196"/>
      <c r="T196"/>
      <c r="U196"/>
      <c r="V196"/>
      <c r="W196"/>
      <c r="X196"/>
      <c r="Y196"/>
      <c r="Z196"/>
    </row>
    <row r="197" spans="19:26" ht="15" customHeight="1" x14ac:dyDescent="0.25">
      <c r="S197"/>
      <c r="T197"/>
      <c r="U197"/>
      <c r="V197"/>
      <c r="W197"/>
      <c r="X197"/>
      <c r="Y197"/>
      <c r="Z197"/>
    </row>
    <row r="198" spans="19:26" ht="15" customHeight="1" x14ac:dyDescent="0.25">
      <c r="S198"/>
      <c r="T198"/>
      <c r="U198"/>
      <c r="V198"/>
      <c r="W198"/>
      <c r="X198"/>
      <c r="Y198"/>
      <c r="Z198"/>
    </row>
    <row r="199" spans="19:26" ht="15" customHeight="1" x14ac:dyDescent="0.25">
      <c r="S199"/>
      <c r="T199"/>
      <c r="U199"/>
      <c r="V199"/>
      <c r="W199"/>
      <c r="X199"/>
      <c r="Y199"/>
      <c r="Z199"/>
    </row>
    <row r="200" spans="19:26" ht="15" customHeight="1" x14ac:dyDescent="0.25">
      <c r="S200"/>
      <c r="T200"/>
      <c r="U200"/>
      <c r="V200"/>
      <c r="W200"/>
      <c r="X200"/>
      <c r="Y200"/>
      <c r="Z200"/>
    </row>
    <row r="201" spans="19:26" ht="15" customHeight="1" x14ac:dyDescent="0.25">
      <c r="S201"/>
      <c r="T201"/>
      <c r="U201"/>
      <c r="V201"/>
      <c r="W201"/>
      <c r="X201"/>
      <c r="Y201"/>
      <c r="Z201"/>
    </row>
    <row r="202" spans="19:26" ht="15" customHeight="1" x14ac:dyDescent="0.25">
      <c r="S202"/>
      <c r="T202"/>
      <c r="U202"/>
      <c r="V202"/>
      <c r="W202"/>
      <c r="X202"/>
      <c r="Y202"/>
      <c r="Z202"/>
    </row>
    <row r="203" spans="19:26" ht="15" customHeight="1" x14ac:dyDescent="0.25">
      <c r="S203"/>
      <c r="T203"/>
      <c r="U203"/>
      <c r="V203"/>
      <c r="W203"/>
      <c r="X203"/>
      <c r="Y203"/>
      <c r="Z203"/>
    </row>
    <row r="204" spans="19:26" ht="15" customHeight="1" x14ac:dyDescent="0.25">
      <c r="S204"/>
      <c r="T204"/>
      <c r="U204"/>
      <c r="V204"/>
      <c r="W204"/>
      <c r="X204"/>
      <c r="Y204"/>
      <c r="Z204"/>
    </row>
    <row r="205" spans="19:26" ht="15" customHeight="1" x14ac:dyDescent="0.25">
      <c r="S205"/>
      <c r="T205"/>
      <c r="U205"/>
      <c r="V205"/>
      <c r="W205"/>
      <c r="X205"/>
      <c r="Y205"/>
      <c r="Z205"/>
    </row>
    <row r="206" spans="19:26" ht="15" customHeight="1" x14ac:dyDescent="0.25">
      <c r="S206"/>
      <c r="T206"/>
      <c r="U206"/>
      <c r="V206"/>
      <c r="W206"/>
      <c r="X206"/>
      <c r="Y206"/>
      <c r="Z206"/>
    </row>
    <row r="207" spans="19:26" ht="15" customHeight="1" x14ac:dyDescent="0.25">
      <c r="S207"/>
      <c r="T207"/>
      <c r="U207"/>
      <c r="V207"/>
      <c r="W207"/>
      <c r="X207"/>
      <c r="Y207"/>
      <c r="Z207"/>
    </row>
    <row r="208" spans="19:26" ht="15" customHeight="1" x14ac:dyDescent="0.25">
      <c r="S208"/>
      <c r="T208"/>
      <c r="U208"/>
      <c r="V208"/>
      <c r="W208"/>
      <c r="X208"/>
      <c r="Y208"/>
      <c r="Z208"/>
    </row>
    <row r="209" spans="19:26" ht="15" customHeight="1" x14ac:dyDescent="0.25">
      <c r="S209"/>
      <c r="T209"/>
      <c r="U209"/>
      <c r="V209"/>
      <c r="W209"/>
      <c r="X209"/>
      <c r="Y209"/>
      <c r="Z209"/>
    </row>
    <row r="210" spans="19:26" ht="15" customHeight="1" x14ac:dyDescent="0.25">
      <c r="S210"/>
      <c r="T210"/>
      <c r="U210"/>
      <c r="V210"/>
      <c r="W210"/>
      <c r="X210"/>
      <c r="Y210"/>
      <c r="Z210"/>
    </row>
    <row r="211" spans="19:26" ht="15" customHeight="1" x14ac:dyDescent="0.25">
      <c r="S211"/>
      <c r="T211"/>
      <c r="U211"/>
      <c r="V211"/>
      <c r="W211"/>
      <c r="X211"/>
      <c r="Y211"/>
      <c r="Z211"/>
    </row>
    <row r="212" spans="19:26" ht="15" customHeight="1" x14ac:dyDescent="0.25">
      <c r="S212"/>
      <c r="T212"/>
      <c r="U212"/>
      <c r="V212"/>
      <c r="W212"/>
      <c r="X212"/>
      <c r="Y212"/>
      <c r="Z212"/>
    </row>
    <row r="213" spans="19:26" ht="15" customHeight="1" x14ac:dyDescent="0.25">
      <c r="S213"/>
      <c r="T213"/>
      <c r="U213"/>
      <c r="V213"/>
      <c r="W213"/>
      <c r="X213"/>
      <c r="Y213"/>
      <c r="Z213"/>
    </row>
    <row r="214" spans="19:26" ht="15" customHeight="1" x14ac:dyDescent="0.25">
      <c r="S214"/>
      <c r="T214"/>
      <c r="U214"/>
      <c r="V214"/>
      <c r="W214"/>
      <c r="X214"/>
      <c r="Y214"/>
      <c r="Z214"/>
    </row>
    <row r="215" spans="19:26" ht="15" customHeight="1" x14ac:dyDescent="0.25">
      <c r="S215"/>
      <c r="T215"/>
      <c r="U215"/>
      <c r="V215"/>
      <c r="W215"/>
      <c r="X215"/>
      <c r="Y215"/>
      <c r="Z215"/>
    </row>
    <row r="216" spans="19:26" ht="15" customHeight="1" x14ac:dyDescent="0.25">
      <c r="S216"/>
      <c r="T216"/>
      <c r="U216"/>
      <c r="V216"/>
      <c r="W216"/>
      <c r="X216"/>
      <c r="Y216"/>
      <c r="Z216"/>
    </row>
    <row r="217" spans="19:26" ht="15" customHeight="1" x14ac:dyDescent="0.25">
      <c r="S217"/>
      <c r="T217"/>
      <c r="U217"/>
      <c r="V217"/>
      <c r="W217"/>
      <c r="X217"/>
      <c r="Y217"/>
      <c r="Z217"/>
    </row>
    <row r="218" spans="19:26" ht="15" customHeight="1" x14ac:dyDescent="0.25">
      <c r="S218"/>
      <c r="T218"/>
      <c r="U218"/>
      <c r="V218"/>
      <c r="W218"/>
      <c r="X218"/>
      <c r="Y218"/>
      <c r="Z218"/>
    </row>
    <row r="219" spans="19:26" ht="15" customHeight="1" x14ac:dyDescent="0.25">
      <c r="S219"/>
      <c r="T219"/>
      <c r="U219"/>
      <c r="V219"/>
      <c r="W219"/>
      <c r="X219"/>
      <c r="Y219"/>
      <c r="Z219"/>
    </row>
    <row r="220" spans="19:26" ht="15" customHeight="1" x14ac:dyDescent="0.25">
      <c r="S220"/>
      <c r="T220"/>
      <c r="U220"/>
      <c r="V220"/>
      <c r="W220"/>
      <c r="X220"/>
      <c r="Y220"/>
      <c r="Z220"/>
    </row>
    <row r="221" spans="19:26" ht="15" customHeight="1" x14ac:dyDescent="0.25">
      <c r="S221"/>
      <c r="T221"/>
      <c r="U221"/>
      <c r="V221"/>
      <c r="W221"/>
      <c r="X221"/>
      <c r="Y221"/>
      <c r="Z221"/>
    </row>
    <row r="222" spans="19:26" ht="15" customHeight="1" x14ac:dyDescent="0.25">
      <c r="S222"/>
      <c r="T222"/>
      <c r="U222"/>
      <c r="V222"/>
      <c r="W222"/>
      <c r="X222"/>
      <c r="Y222"/>
      <c r="Z222"/>
    </row>
    <row r="223" spans="19:26" ht="15" customHeight="1" x14ac:dyDescent="0.25">
      <c r="S223"/>
      <c r="T223"/>
      <c r="U223"/>
      <c r="V223"/>
      <c r="W223"/>
      <c r="X223"/>
      <c r="Y223"/>
      <c r="Z223"/>
    </row>
    <row r="224" spans="19:26" ht="15" customHeight="1" x14ac:dyDescent="0.25">
      <c r="S224"/>
      <c r="T224"/>
      <c r="U224"/>
      <c r="V224"/>
      <c r="W224"/>
      <c r="X224"/>
      <c r="Y224"/>
      <c r="Z224"/>
    </row>
    <row r="225" spans="19:26" ht="15" customHeight="1" x14ac:dyDescent="0.25">
      <c r="S225"/>
      <c r="T225"/>
      <c r="U225"/>
      <c r="V225"/>
      <c r="W225"/>
      <c r="X225"/>
      <c r="Y225"/>
      <c r="Z225"/>
    </row>
    <row r="226" spans="19:26" ht="15" customHeight="1" x14ac:dyDescent="0.25">
      <c r="S226"/>
      <c r="T226"/>
      <c r="U226"/>
      <c r="V226"/>
      <c r="W226"/>
      <c r="X226"/>
      <c r="Y226"/>
      <c r="Z226"/>
    </row>
    <row r="227" spans="19:26" ht="15" customHeight="1" x14ac:dyDescent="0.25">
      <c r="S227"/>
      <c r="T227"/>
      <c r="U227"/>
      <c r="V227"/>
      <c r="W227"/>
      <c r="X227"/>
      <c r="Y227"/>
      <c r="Z227"/>
    </row>
    <row r="228" spans="19:26" ht="15" customHeight="1" x14ac:dyDescent="0.25">
      <c r="S228"/>
      <c r="T228"/>
      <c r="U228"/>
      <c r="V228"/>
      <c r="W228"/>
      <c r="X228"/>
      <c r="Y228"/>
      <c r="Z228"/>
    </row>
    <row r="229" spans="19:26" ht="15" customHeight="1" x14ac:dyDescent="0.25">
      <c r="S229"/>
      <c r="T229"/>
      <c r="U229"/>
      <c r="V229"/>
      <c r="W229"/>
      <c r="X229"/>
      <c r="Y229"/>
      <c r="Z229"/>
    </row>
    <row r="230" spans="19:26" ht="15" customHeight="1" x14ac:dyDescent="0.25">
      <c r="S230"/>
      <c r="T230"/>
      <c r="U230"/>
      <c r="V230"/>
      <c r="W230"/>
      <c r="X230"/>
      <c r="Y230"/>
      <c r="Z230"/>
    </row>
    <row r="231" spans="19:26" ht="15" customHeight="1" x14ac:dyDescent="0.25">
      <c r="S231"/>
      <c r="T231"/>
      <c r="U231"/>
      <c r="V231"/>
      <c r="W231"/>
      <c r="X231"/>
      <c r="Y231"/>
      <c r="Z231"/>
    </row>
    <row r="232" spans="19:26" ht="15" customHeight="1" x14ac:dyDescent="0.25">
      <c r="S232"/>
      <c r="T232"/>
      <c r="U232"/>
      <c r="V232"/>
      <c r="W232"/>
      <c r="X232"/>
      <c r="Y232"/>
      <c r="Z232"/>
    </row>
    <row r="233" spans="19:26" ht="15" customHeight="1" x14ac:dyDescent="0.25">
      <c r="S233"/>
      <c r="T233"/>
      <c r="U233"/>
      <c r="V233"/>
      <c r="W233"/>
      <c r="X233"/>
      <c r="Y233"/>
      <c r="Z233"/>
    </row>
    <row r="234" spans="19:26" ht="15" customHeight="1" x14ac:dyDescent="0.25">
      <c r="S234"/>
      <c r="T234"/>
      <c r="U234"/>
      <c r="V234"/>
      <c r="W234"/>
      <c r="X234"/>
      <c r="Y234"/>
      <c r="Z234"/>
    </row>
    <row r="235" spans="19:26" ht="15" customHeight="1" x14ac:dyDescent="0.25">
      <c r="S235"/>
      <c r="T235"/>
      <c r="U235"/>
      <c r="V235"/>
      <c r="W235"/>
      <c r="X235"/>
      <c r="Y235"/>
      <c r="Z235"/>
    </row>
    <row r="236" spans="19:26" ht="15" customHeight="1" x14ac:dyDescent="0.25">
      <c r="S236"/>
      <c r="T236"/>
      <c r="U236"/>
      <c r="V236"/>
      <c r="W236"/>
      <c r="X236"/>
      <c r="Y236"/>
      <c r="Z236"/>
    </row>
    <row r="237" spans="19:26" ht="15" customHeight="1" x14ac:dyDescent="0.25">
      <c r="S237"/>
      <c r="T237"/>
      <c r="U237"/>
      <c r="V237"/>
      <c r="W237"/>
      <c r="X237"/>
      <c r="Y237"/>
      <c r="Z237"/>
    </row>
    <row r="238" spans="19:26" ht="15" customHeight="1" x14ac:dyDescent="0.25">
      <c r="S238"/>
      <c r="T238"/>
      <c r="U238"/>
      <c r="V238"/>
      <c r="W238"/>
      <c r="X238"/>
      <c r="Y238"/>
      <c r="Z238"/>
    </row>
    <row r="239" spans="19:26" ht="15" customHeight="1" x14ac:dyDescent="0.25">
      <c r="S239"/>
      <c r="T239"/>
      <c r="U239"/>
      <c r="V239"/>
      <c r="W239"/>
      <c r="X239"/>
      <c r="Y239"/>
      <c r="Z239"/>
    </row>
    <row r="240" spans="19:26" ht="15" customHeight="1" x14ac:dyDescent="0.25">
      <c r="S240"/>
      <c r="T240"/>
      <c r="U240"/>
      <c r="V240"/>
      <c r="W240"/>
      <c r="X240"/>
      <c r="Y240"/>
      <c r="Z240"/>
    </row>
    <row r="241" spans="19:26" ht="15" customHeight="1" x14ac:dyDescent="0.25">
      <c r="S241"/>
      <c r="T241"/>
      <c r="U241"/>
      <c r="V241"/>
      <c r="W241"/>
      <c r="X241"/>
      <c r="Y241"/>
      <c r="Z241"/>
    </row>
    <row r="242" spans="19:26" ht="15" customHeight="1" x14ac:dyDescent="0.25">
      <c r="S242"/>
      <c r="T242"/>
      <c r="U242"/>
      <c r="V242"/>
      <c r="W242"/>
      <c r="X242"/>
      <c r="Y242"/>
      <c r="Z242"/>
    </row>
    <row r="243" spans="19:26" ht="15" customHeight="1" x14ac:dyDescent="0.25">
      <c r="S243"/>
      <c r="T243"/>
      <c r="U243"/>
      <c r="V243"/>
      <c r="W243"/>
      <c r="X243"/>
      <c r="Y243"/>
      <c r="Z243"/>
    </row>
    <row r="244" spans="19:26" ht="15" customHeight="1" x14ac:dyDescent="0.25">
      <c r="S244"/>
      <c r="T244"/>
      <c r="U244"/>
      <c r="V244"/>
      <c r="W244"/>
      <c r="X244"/>
      <c r="Y244"/>
      <c r="Z244"/>
    </row>
    <row r="245" spans="19:26" ht="15" customHeight="1" x14ac:dyDescent="0.25">
      <c r="S245"/>
      <c r="T245"/>
      <c r="U245"/>
      <c r="V245"/>
      <c r="W245"/>
      <c r="X245"/>
      <c r="Y245"/>
      <c r="Z245"/>
    </row>
    <row r="246" spans="19:26" ht="15" customHeight="1" x14ac:dyDescent="0.25">
      <c r="S246"/>
      <c r="T246"/>
      <c r="U246"/>
      <c r="V246"/>
      <c r="W246"/>
      <c r="X246"/>
      <c r="Y246"/>
      <c r="Z246"/>
    </row>
    <row r="247" spans="19:26" ht="15" customHeight="1" x14ac:dyDescent="0.25">
      <c r="S247"/>
      <c r="T247"/>
      <c r="U247"/>
      <c r="V247"/>
      <c r="W247"/>
      <c r="X247"/>
      <c r="Y247"/>
      <c r="Z247"/>
    </row>
    <row r="248" spans="19:26" ht="15" customHeight="1" x14ac:dyDescent="0.25">
      <c r="S248"/>
      <c r="T248"/>
      <c r="U248"/>
      <c r="V248"/>
      <c r="W248"/>
      <c r="X248"/>
      <c r="Y248"/>
      <c r="Z248"/>
    </row>
    <row r="249" spans="19:26" ht="15" customHeight="1" x14ac:dyDescent="0.25">
      <c r="S249"/>
      <c r="T249"/>
      <c r="U249"/>
      <c r="V249"/>
      <c r="W249"/>
      <c r="X249"/>
      <c r="Y249"/>
      <c r="Z249"/>
    </row>
    <row r="250" spans="19:26" ht="15" customHeight="1" x14ac:dyDescent="0.25">
      <c r="S250"/>
      <c r="T250"/>
      <c r="U250"/>
      <c r="V250"/>
      <c r="W250"/>
      <c r="X250"/>
      <c r="Y250"/>
      <c r="Z250"/>
    </row>
    <row r="251" spans="19:26" ht="15" customHeight="1" x14ac:dyDescent="0.25">
      <c r="S251"/>
      <c r="T251"/>
      <c r="U251"/>
      <c r="V251"/>
      <c r="W251"/>
      <c r="X251"/>
      <c r="Y251"/>
      <c r="Z251"/>
    </row>
    <row r="252" spans="19:26" ht="15" customHeight="1" x14ac:dyDescent="0.25">
      <c r="S252"/>
      <c r="T252"/>
      <c r="U252"/>
      <c r="V252"/>
      <c r="W252"/>
      <c r="X252"/>
      <c r="Y252"/>
      <c r="Z252"/>
    </row>
    <row r="253" spans="19:26" ht="15" customHeight="1" x14ac:dyDescent="0.25">
      <c r="S253"/>
      <c r="T253"/>
      <c r="U253"/>
      <c r="V253"/>
      <c r="W253"/>
      <c r="X253"/>
      <c r="Y253"/>
      <c r="Z253"/>
    </row>
    <row r="254" spans="19:26" ht="15" customHeight="1" x14ac:dyDescent="0.25">
      <c r="S254"/>
      <c r="T254"/>
      <c r="U254"/>
      <c r="V254"/>
      <c r="W254"/>
      <c r="X254"/>
      <c r="Y254"/>
      <c r="Z254"/>
    </row>
    <row r="255" spans="19:26" ht="15" customHeight="1" x14ac:dyDescent="0.25">
      <c r="S255"/>
      <c r="T255"/>
      <c r="U255"/>
      <c r="V255"/>
      <c r="W255"/>
      <c r="X255"/>
      <c r="Y255"/>
      <c r="Z255"/>
    </row>
    <row r="256" spans="19:26" ht="15" customHeight="1" x14ac:dyDescent="0.25">
      <c r="S256"/>
      <c r="T256"/>
      <c r="U256"/>
      <c r="V256"/>
      <c r="W256"/>
      <c r="X256"/>
      <c r="Y256"/>
      <c r="Z256"/>
    </row>
    <row r="257" spans="19:26" ht="15" customHeight="1" x14ac:dyDescent="0.25">
      <c r="S257"/>
      <c r="T257"/>
      <c r="U257"/>
      <c r="V257"/>
      <c r="W257"/>
      <c r="X257"/>
      <c r="Y257"/>
      <c r="Z257"/>
    </row>
    <row r="258" spans="19:26" ht="15" customHeight="1" x14ac:dyDescent="0.25">
      <c r="S258"/>
      <c r="T258"/>
      <c r="U258"/>
      <c r="V258"/>
      <c r="W258"/>
      <c r="X258"/>
      <c r="Y258"/>
      <c r="Z258"/>
    </row>
    <row r="259" spans="19:26" ht="15" customHeight="1" x14ac:dyDescent="0.25">
      <c r="S259"/>
      <c r="T259"/>
      <c r="U259"/>
      <c r="V259"/>
      <c r="W259"/>
      <c r="X259"/>
      <c r="Y259"/>
      <c r="Z259"/>
    </row>
    <row r="260" spans="19:26" ht="15" customHeight="1" x14ac:dyDescent="0.25">
      <c r="S260"/>
      <c r="T260"/>
      <c r="U260"/>
      <c r="V260"/>
      <c r="W260"/>
      <c r="X260"/>
      <c r="Y260"/>
      <c r="Z260"/>
    </row>
    <row r="261" spans="19:26" ht="15" customHeight="1" x14ac:dyDescent="0.25">
      <c r="S261"/>
      <c r="T261"/>
      <c r="U261"/>
      <c r="V261"/>
      <c r="W261"/>
      <c r="X261"/>
      <c r="Y261"/>
      <c r="Z261"/>
    </row>
    <row r="262" spans="19:26" ht="15" customHeight="1" x14ac:dyDescent="0.25">
      <c r="S262"/>
      <c r="T262"/>
      <c r="U262"/>
      <c r="V262"/>
      <c r="W262"/>
      <c r="X262"/>
      <c r="Y262"/>
      <c r="Z262"/>
    </row>
    <row r="263" spans="19:26" ht="15" customHeight="1" x14ac:dyDescent="0.25">
      <c r="S263"/>
      <c r="T263"/>
      <c r="U263"/>
      <c r="V263"/>
      <c r="W263"/>
      <c r="X263"/>
      <c r="Y263"/>
      <c r="Z263"/>
    </row>
    <row r="264" spans="19:26" ht="15" customHeight="1" x14ac:dyDescent="0.25">
      <c r="S264"/>
      <c r="T264"/>
      <c r="U264"/>
      <c r="V264"/>
      <c r="W264"/>
      <c r="X264"/>
      <c r="Y264"/>
      <c r="Z264"/>
    </row>
    <row r="265" spans="19:26" ht="15" customHeight="1" x14ac:dyDescent="0.25">
      <c r="S265"/>
      <c r="T265"/>
      <c r="U265"/>
      <c r="V265"/>
      <c r="W265"/>
      <c r="X265"/>
      <c r="Y265"/>
      <c r="Z265"/>
    </row>
    <row r="266" spans="19:26" ht="15" customHeight="1" x14ac:dyDescent="0.25">
      <c r="S266"/>
      <c r="T266"/>
      <c r="U266"/>
      <c r="V266"/>
      <c r="W266"/>
      <c r="X266"/>
      <c r="Y266"/>
      <c r="Z266"/>
    </row>
    <row r="267" spans="19:26" ht="15" customHeight="1" x14ac:dyDescent="0.25">
      <c r="S267"/>
      <c r="T267"/>
      <c r="U267"/>
      <c r="V267"/>
      <c r="W267"/>
      <c r="X267"/>
      <c r="Y267"/>
      <c r="Z267"/>
    </row>
    <row r="268" spans="19:26" ht="15" customHeight="1" x14ac:dyDescent="0.25">
      <c r="S268"/>
      <c r="T268"/>
      <c r="U268"/>
      <c r="V268"/>
      <c r="W268"/>
      <c r="X268"/>
      <c r="Y268"/>
      <c r="Z268"/>
    </row>
    <row r="269" spans="19:26" ht="15" customHeight="1" x14ac:dyDescent="0.25">
      <c r="S269"/>
      <c r="T269"/>
      <c r="U269"/>
      <c r="V269"/>
      <c r="W269"/>
      <c r="X269"/>
      <c r="Y269"/>
      <c r="Z269"/>
    </row>
    <row r="270" spans="19:26" ht="15" customHeight="1" x14ac:dyDescent="0.25">
      <c r="S270"/>
      <c r="T270"/>
      <c r="U270"/>
      <c r="V270"/>
      <c r="W270"/>
      <c r="X270"/>
      <c r="Y270"/>
      <c r="Z270"/>
    </row>
    <row r="271" spans="19:26" ht="15" customHeight="1" x14ac:dyDescent="0.25">
      <c r="S271"/>
      <c r="T271"/>
      <c r="U271"/>
      <c r="V271"/>
      <c r="W271"/>
      <c r="X271"/>
      <c r="Y271"/>
      <c r="Z271"/>
    </row>
    <row r="272" spans="19:26" ht="15" customHeight="1" x14ac:dyDescent="0.25">
      <c r="S272"/>
      <c r="T272"/>
      <c r="U272"/>
      <c r="V272"/>
      <c r="W272"/>
      <c r="X272"/>
      <c r="Y272"/>
      <c r="Z272"/>
    </row>
    <row r="273" spans="19:26" ht="15" customHeight="1" x14ac:dyDescent="0.25">
      <c r="S273"/>
      <c r="T273"/>
      <c r="U273"/>
      <c r="V273"/>
      <c r="W273"/>
      <c r="X273"/>
      <c r="Y273"/>
      <c r="Z273"/>
    </row>
    <row r="274" spans="19:26" ht="15" customHeight="1" x14ac:dyDescent="0.25">
      <c r="S274"/>
      <c r="T274"/>
      <c r="U274"/>
      <c r="V274"/>
      <c r="W274"/>
      <c r="X274"/>
      <c r="Y274"/>
      <c r="Z274"/>
    </row>
    <row r="275" spans="19:26" ht="15" customHeight="1" x14ac:dyDescent="0.25">
      <c r="S275"/>
      <c r="T275"/>
      <c r="U275"/>
      <c r="V275"/>
      <c r="W275"/>
      <c r="X275"/>
      <c r="Y275"/>
      <c r="Z275"/>
    </row>
    <row r="276" spans="19:26" ht="15" customHeight="1" x14ac:dyDescent="0.25">
      <c r="S276"/>
      <c r="T276"/>
      <c r="U276"/>
      <c r="V276"/>
      <c r="W276"/>
      <c r="X276"/>
      <c r="Y276"/>
      <c r="Z276"/>
    </row>
    <row r="277" spans="19:26" ht="15" customHeight="1" x14ac:dyDescent="0.25">
      <c r="S277"/>
      <c r="T277"/>
      <c r="U277"/>
      <c r="V277"/>
      <c r="W277"/>
      <c r="X277"/>
      <c r="Y277"/>
      <c r="Z277"/>
    </row>
    <row r="278" spans="19:26" ht="15" customHeight="1" x14ac:dyDescent="0.25">
      <c r="S278"/>
      <c r="T278"/>
      <c r="U278"/>
      <c r="V278"/>
      <c r="W278"/>
      <c r="X278"/>
      <c r="Y278"/>
      <c r="Z278"/>
    </row>
    <row r="279" spans="19:26" ht="15" customHeight="1" x14ac:dyDescent="0.25">
      <c r="S279"/>
      <c r="T279"/>
      <c r="U279"/>
      <c r="V279"/>
      <c r="W279"/>
      <c r="X279"/>
      <c r="Y279"/>
      <c r="Z279"/>
    </row>
    <row r="280" spans="19:26" ht="15" customHeight="1" x14ac:dyDescent="0.25">
      <c r="S280"/>
      <c r="T280"/>
      <c r="U280"/>
      <c r="V280"/>
      <c r="W280"/>
      <c r="X280"/>
      <c r="Y280"/>
      <c r="Z280"/>
    </row>
    <row r="281" spans="19:26" ht="15" customHeight="1" x14ac:dyDescent="0.25">
      <c r="S281"/>
      <c r="T281"/>
      <c r="U281"/>
      <c r="V281"/>
      <c r="W281"/>
      <c r="X281"/>
      <c r="Y281"/>
      <c r="Z281"/>
    </row>
    <row r="282" spans="19:26" ht="15" customHeight="1" x14ac:dyDescent="0.25">
      <c r="S282"/>
      <c r="T282"/>
      <c r="U282"/>
      <c r="V282"/>
      <c r="W282"/>
      <c r="X282"/>
      <c r="Y282"/>
      <c r="Z282"/>
    </row>
    <row r="283" spans="19:26" ht="15" customHeight="1" x14ac:dyDescent="0.25">
      <c r="S283"/>
      <c r="T283"/>
      <c r="U283"/>
      <c r="V283"/>
      <c r="W283"/>
      <c r="X283"/>
      <c r="Y283"/>
      <c r="Z283"/>
    </row>
    <row r="284" spans="19:26" ht="15" customHeight="1" x14ac:dyDescent="0.25">
      <c r="S284"/>
      <c r="T284"/>
      <c r="U284"/>
      <c r="V284"/>
      <c r="W284"/>
      <c r="X284"/>
      <c r="Y284"/>
      <c r="Z284"/>
    </row>
    <row r="285" spans="19:26" ht="15" customHeight="1" x14ac:dyDescent="0.25">
      <c r="S285"/>
      <c r="T285"/>
      <c r="U285"/>
      <c r="V285"/>
      <c r="W285"/>
      <c r="X285"/>
      <c r="Y285"/>
      <c r="Z285"/>
    </row>
    <row r="286" spans="19:26" ht="15" customHeight="1" x14ac:dyDescent="0.25">
      <c r="S286"/>
      <c r="T286"/>
      <c r="U286"/>
      <c r="V286"/>
      <c r="W286"/>
      <c r="X286"/>
      <c r="Y286"/>
      <c r="Z286"/>
    </row>
    <row r="287" spans="19:26" ht="15" customHeight="1" x14ac:dyDescent="0.25">
      <c r="S287"/>
      <c r="T287"/>
      <c r="U287"/>
      <c r="V287"/>
      <c r="W287"/>
      <c r="X287"/>
      <c r="Y287"/>
      <c r="Z287"/>
    </row>
    <row r="288" spans="19:26" ht="15" customHeight="1" x14ac:dyDescent="0.25">
      <c r="S288"/>
      <c r="T288"/>
      <c r="U288"/>
      <c r="V288"/>
      <c r="W288"/>
      <c r="X288"/>
      <c r="Y288"/>
      <c r="Z288"/>
    </row>
    <row r="289" spans="19:26" ht="15" customHeight="1" x14ac:dyDescent="0.25">
      <c r="S289"/>
      <c r="T289"/>
      <c r="U289"/>
      <c r="V289"/>
      <c r="W289"/>
      <c r="X289"/>
      <c r="Y289"/>
      <c r="Z289"/>
    </row>
    <row r="290" spans="19:26" ht="15" customHeight="1" x14ac:dyDescent="0.25">
      <c r="S290"/>
      <c r="T290"/>
      <c r="U290"/>
      <c r="V290"/>
      <c r="W290"/>
      <c r="X290"/>
      <c r="Y290"/>
      <c r="Z290"/>
    </row>
    <row r="291" spans="19:26" ht="15" customHeight="1" x14ac:dyDescent="0.25">
      <c r="S291"/>
      <c r="T291"/>
      <c r="U291"/>
      <c r="V291"/>
      <c r="W291"/>
      <c r="X291"/>
      <c r="Y291"/>
      <c r="Z291"/>
    </row>
    <row r="292" spans="19:26" ht="15" customHeight="1" x14ac:dyDescent="0.25">
      <c r="S292"/>
      <c r="T292"/>
      <c r="U292"/>
      <c r="V292"/>
      <c r="W292"/>
      <c r="X292"/>
      <c r="Y292"/>
      <c r="Z292"/>
    </row>
    <row r="293" spans="19:26" ht="15" customHeight="1" x14ac:dyDescent="0.25">
      <c r="S293"/>
      <c r="T293"/>
      <c r="U293"/>
      <c r="V293"/>
      <c r="W293"/>
      <c r="X293"/>
      <c r="Y293"/>
      <c r="Z293"/>
    </row>
    <row r="294" spans="19:26" ht="15" customHeight="1" x14ac:dyDescent="0.25">
      <c r="S294"/>
      <c r="T294"/>
      <c r="U294"/>
      <c r="V294"/>
      <c r="W294"/>
      <c r="X294"/>
      <c r="Y294"/>
      <c r="Z294"/>
    </row>
    <row r="295" spans="19:26" ht="15" customHeight="1" x14ac:dyDescent="0.25">
      <c r="S295"/>
      <c r="T295"/>
      <c r="U295"/>
      <c r="V295"/>
      <c r="W295"/>
      <c r="X295"/>
      <c r="Y295"/>
      <c r="Z295"/>
    </row>
    <row r="296" spans="19:26" ht="15" customHeight="1" x14ac:dyDescent="0.25">
      <c r="S296"/>
      <c r="T296"/>
      <c r="U296"/>
      <c r="V296"/>
      <c r="W296"/>
      <c r="X296"/>
      <c r="Y296"/>
      <c r="Z296"/>
    </row>
    <row r="297" spans="19:26" ht="15" customHeight="1" x14ac:dyDescent="0.25">
      <c r="S297"/>
      <c r="T297"/>
      <c r="U297"/>
      <c r="V297"/>
      <c r="W297"/>
      <c r="X297"/>
      <c r="Y297"/>
      <c r="Z297"/>
    </row>
    <row r="298" spans="19:26" ht="15" customHeight="1" x14ac:dyDescent="0.25">
      <c r="S298"/>
      <c r="T298"/>
      <c r="U298"/>
      <c r="V298"/>
      <c r="W298"/>
      <c r="X298"/>
      <c r="Y298"/>
      <c r="Z298"/>
    </row>
    <row r="299" spans="19:26" ht="15" customHeight="1" x14ac:dyDescent="0.25">
      <c r="S299"/>
      <c r="T299"/>
      <c r="U299"/>
      <c r="V299"/>
      <c r="W299"/>
      <c r="X299"/>
      <c r="Y299"/>
      <c r="Z299"/>
    </row>
    <row r="300" spans="19:26" ht="15" customHeight="1" x14ac:dyDescent="0.25">
      <c r="S300"/>
      <c r="T300"/>
      <c r="U300"/>
      <c r="V300"/>
      <c r="W300"/>
      <c r="X300"/>
      <c r="Y300"/>
      <c r="Z300"/>
    </row>
    <row r="301" spans="19:26" ht="15" customHeight="1" x14ac:dyDescent="0.25">
      <c r="S301"/>
      <c r="T301"/>
      <c r="U301"/>
      <c r="V301"/>
      <c r="W301"/>
      <c r="X301"/>
      <c r="Y301"/>
      <c r="Z301"/>
    </row>
    <row r="302" spans="19:26" ht="15" customHeight="1" x14ac:dyDescent="0.25">
      <c r="S302"/>
      <c r="T302"/>
      <c r="U302"/>
      <c r="V302"/>
      <c r="W302"/>
      <c r="X302"/>
      <c r="Y302"/>
      <c r="Z302"/>
    </row>
    <row r="303" spans="19:26" ht="15" customHeight="1" x14ac:dyDescent="0.25">
      <c r="S303"/>
      <c r="T303"/>
      <c r="U303"/>
      <c r="V303"/>
      <c r="W303"/>
      <c r="X303"/>
      <c r="Y303"/>
      <c r="Z303"/>
    </row>
    <row r="304" spans="19:26" ht="15" customHeight="1" x14ac:dyDescent="0.25">
      <c r="S304"/>
      <c r="T304"/>
      <c r="U304"/>
      <c r="V304"/>
      <c r="W304"/>
      <c r="X304"/>
      <c r="Y304"/>
      <c r="Z304"/>
    </row>
    <row r="305" spans="19:26" ht="15" customHeight="1" x14ac:dyDescent="0.25">
      <c r="S305"/>
      <c r="T305"/>
      <c r="U305"/>
      <c r="V305"/>
      <c r="W305"/>
      <c r="X305"/>
      <c r="Y305"/>
      <c r="Z305"/>
    </row>
    <row r="306" spans="19:26" ht="15" customHeight="1" x14ac:dyDescent="0.25">
      <c r="S306"/>
      <c r="T306"/>
      <c r="U306"/>
      <c r="V306"/>
      <c r="W306"/>
      <c r="X306"/>
      <c r="Y306"/>
      <c r="Z306"/>
    </row>
    <row r="307" spans="19:26" ht="15" customHeight="1" x14ac:dyDescent="0.25">
      <c r="S307"/>
      <c r="T307"/>
      <c r="U307"/>
      <c r="V307"/>
      <c r="W307"/>
      <c r="X307"/>
      <c r="Y307"/>
      <c r="Z307"/>
    </row>
    <row r="308" spans="19:26" ht="15" customHeight="1" x14ac:dyDescent="0.25">
      <c r="S308"/>
      <c r="T308"/>
      <c r="U308"/>
      <c r="V308"/>
      <c r="W308"/>
      <c r="X308"/>
      <c r="Y308"/>
      <c r="Z308"/>
    </row>
    <row r="309" spans="19:26" ht="15" customHeight="1" x14ac:dyDescent="0.25">
      <c r="S309"/>
      <c r="T309"/>
      <c r="U309"/>
      <c r="V309"/>
      <c r="W309"/>
      <c r="X309"/>
      <c r="Y309"/>
      <c r="Z309"/>
    </row>
    <row r="310" spans="19:26" ht="15" customHeight="1" x14ac:dyDescent="0.25">
      <c r="S310"/>
      <c r="T310"/>
      <c r="U310"/>
      <c r="V310"/>
      <c r="W310"/>
      <c r="X310"/>
      <c r="Y310"/>
      <c r="Z310"/>
    </row>
    <row r="311" spans="19:26" ht="15" customHeight="1" x14ac:dyDescent="0.25">
      <c r="S311"/>
      <c r="T311"/>
      <c r="U311"/>
      <c r="V311"/>
      <c r="W311"/>
      <c r="X311"/>
      <c r="Y311"/>
      <c r="Z311"/>
    </row>
    <row r="312" spans="19:26" ht="15" customHeight="1" x14ac:dyDescent="0.25">
      <c r="S312"/>
      <c r="T312"/>
      <c r="U312"/>
      <c r="V312"/>
      <c r="W312"/>
      <c r="X312"/>
      <c r="Y312"/>
      <c r="Z312"/>
    </row>
    <row r="313" spans="19:26" ht="15" customHeight="1" x14ac:dyDescent="0.25">
      <c r="S313"/>
      <c r="T313"/>
      <c r="U313"/>
      <c r="V313"/>
      <c r="W313"/>
      <c r="X313"/>
      <c r="Y313"/>
      <c r="Z313"/>
    </row>
    <row r="314" spans="19:26" ht="15" customHeight="1" x14ac:dyDescent="0.25">
      <c r="S314"/>
      <c r="T314"/>
      <c r="U314"/>
      <c r="V314"/>
      <c r="W314"/>
      <c r="X314"/>
      <c r="Y314"/>
      <c r="Z314"/>
    </row>
    <row r="315" spans="19:26" ht="15" customHeight="1" x14ac:dyDescent="0.25">
      <c r="S315"/>
      <c r="T315"/>
      <c r="U315"/>
      <c r="V315"/>
      <c r="W315"/>
      <c r="X315"/>
      <c r="Y315"/>
      <c r="Z315"/>
    </row>
    <row r="316" spans="19:26" ht="15" customHeight="1" x14ac:dyDescent="0.25">
      <c r="S316"/>
      <c r="T316"/>
      <c r="U316"/>
      <c r="V316"/>
      <c r="W316"/>
      <c r="X316"/>
      <c r="Y316"/>
      <c r="Z316"/>
    </row>
    <row r="317" spans="19:26" ht="15" customHeight="1" x14ac:dyDescent="0.25">
      <c r="S317"/>
      <c r="T317"/>
      <c r="U317"/>
      <c r="V317"/>
      <c r="W317"/>
      <c r="X317"/>
      <c r="Y317"/>
      <c r="Z317"/>
    </row>
    <row r="318" spans="19:26" ht="15" customHeight="1" x14ac:dyDescent="0.25">
      <c r="S318"/>
      <c r="T318"/>
      <c r="U318"/>
      <c r="V318"/>
      <c r="W318"/>
      <c r="X318"/>
      <c r="Y318"/>
      <c r="Z318"/>
    </row>
    <row r="319" spans="19:26" ht="15" customHeight="1" x14ac:dyDescent="0.25">
      <c r="S319"/>
      <c r="T319"/>
      <c r="U319"/>
      <c r="V319"/>
      <c r="W319"/>
      <c r="X319"/>
      <c r="Y319"/>
      <c r="Z319"/>
    </row>
    <row r="320" spans="19:26" ht="15" customHeight="1" x14ac:dyDescent="0.25">
      <c r="S320"/>
      <c r="T320"/>
      <c r="U320"/>
      <c r="V320"/>
      <c r="W320"/>
      <c r="X320"/>
      <c r="Y320"/>
      <c r="Z320"/>
    </row>
    <row r="321" spans="19:26" ht="15" customHeight="1" x14ac:dyDescent="0.25">
      <c r="S321"/>
      <c r="T321"/>
      <c r="U321"/>
      <c r="V321"/>
      <c r="W321"/>
      <c r="X321"/>
      <c r="Y321"/>
      <c r="Z321"/>
    </row>
    <row r="322" spans="19:26" ht="15" customHeight="1" x14ac:dyDescent="0.25">
      <c r="S322"/>
      <c r="T322"/>
      <c r="U322"/>
      <c r="V322"/>
      <c r="W322"/>
      <c r="X322"/>
      <c r="Y322"/>
      <c r="Z322"/>
    </row>
    <row r="323" spans="19:26" ht="15" customHeight="1" x14ac:dyDescent="0.25">
      <c r="S323"/>
      <c r="T323"/>
      <c r="U323"/>
      <c r="V323"/>
      <c r="W323"/>
      <c r="X323"/>
      <c r="Y323"/>
      <c r="Z323"/>
    </row>
    <row r="324" spans="19:26" ht="15" customHeight="1" x14ac:dyDescent="0.25">
      <c r="S324"/>
      <c r="T324"/>
      <c r="U324"/>
      <c r="V324"/>
      <c r="W324"/>
      <c r="X324"/>
      <c r="Y324"/>
      <c r="Z324"/>
    </row>
    <row r="325" spans="19:26" ht="15" customHeight="1" x14ac:dyDescent="0.25">
      <c r="S325"/>
      <c r="T325"/>
      <c r="U325"/>
      <c r="V325"/>
      <c r="W325"/>
      <c r="X325"/>
      <c r="Y325"/>
      <c r="Z325"/>
    </row>
    <row r="326" spans="19:26" ht="15" customHeight="1" x14ac:dyDescent="0.25">
      <c r="S326"/>
      <c r="T326"/>
      <c r="U326"/>
      <c r="V326"/>
      <c r="W326"/>
      <c r="X326"/>
      <c r="Y326"/>
      <c r="Z326"/>
    </row>
    <row r="327" spans="19:26" ht="15" customHeight="1" x14ac:dyDescent="0.25">
      <c r="S327"/>
      <c r="T327"/>
      <c r="U327"/>
      <c r="V327"/>
      <c r="W327"/>
      <c r="X327"/>
      <c r="Y327"/>
      <c r="Z327"/>
    </row>
    <row r="328" spans="19:26" ht="15" customHeight="1" x14ac:dyDescent="0.25">
      <c r="S328"/>
      <c r="T328"/>
      <c r="U328"/>
      <c r="V328"/>
      <c r="W328"/>
      <c r="X328"/>
      <c r="Y328"/>
      <c r="Z328"/>
    </row>
    <row r="329" spans="19:26" ht="15" customHeight="1" x14ac:dyDescent="0.25">
      <c r="S329"/>
      <c r="T329"/>
      <c r="U329"/>
      <c r="V329"/>
      <c r="W329"/>
      <c r="X329"/>
      <c r="Y329"/>
      <c r="Z329"/>
    </row>
    <row r="330" spans="19:26" ht="15" customHeight="1" x14ac:dyDescent="0.25">
      <c r="S330"/>
      <c r="T330"/>
      <c r="U330"/>
      <c r="V330"/>
      <c r="W330"/>
      <c r="X330"/>
      <c r="Y330"/>
      <c r="Z330"/>
    </row>
    <row r="331" spans="19:26" ht="15" customHeight="1" x14ac:dyDescent="0.25">
      <c r="S331"/>
      <c r="T331"/>
      <c r="U331"/>
      <c r="V331"/>
      <c r="W331"/>
      <c r="X331"/>
      <c r="Y331"/>
      <c r="Z331"/>
    </row>
    <row r="332" spans="19:26" ht="15" customHeight="1" x14ac:dyDescent="0.25">
      <c r="S332"/>
      <c r="T332"/>
      <c r="U332"/>
      <c r="V332"/>
      <c r="W332"/>
      <c r="X332"/>
      <c r="Y332"/>
      <c r="Z332"/>
    </row>
    <row r="333" spans="19:26" ht="15" customHeight="1" x14ac:dyDescent="0.25">
      <c r="S333"/>
      <c r="T333"/>
      <c r="U333"/>
      <c r="V333"/>
      <c r="W333"/>
      <c r="X333"/>
      <c r="Y333"/>
      <c r="Z333"/>
    </row>
    <row r="334" spans="19:26" ht="15" customHeight="1" x14ac:dyDescent="0.25">
      <c r="S334"/>
      <c r="T334"/>
      <c r="U334"/>
      <c r="V334"/>
      <c r="W334"/>
      <c r="X334"/>
      <c r="Y334"/>
      <c r="Z334"/>
    </row>
    <row r="335" spans="19:26" ht="15" customHeight="1" x14ac:dyDescent="0.25">
      <c r="S335"/>
      <c r="T335"/>
      <c r="U335"/>
      <c r="V335"/>
      <c r="W335"/>
      <c r="X335"/>
      <c r="Y335"/>
      <c r="Z335"/>
    </row>
    <row r="336" spans="19:26" ht="15" customHeight="1" x14ac:dyDescent="0.25">
      <c r="S336"/>
      <c r="T336"/>
      <c r="U336"/>
      <c r="V336"/>
      <c r="W336"/>
      <c r="X336"/>
      <c r="Y336"/>
      <c r="Z336"/>
    </row>
    <row r="337" spans="19:26" ht="15" customHeight="1" x14ac:dyDescent="0.25">
      <c r="S337"/>
      <c r="T337"/>
      <c r="U337"/>
      <c r="V337"/>
      <c r="W337"/>
      <c r="X337"/>
      <c r="Y337"/>
      <c r="Z337"/>
    </row>
    <row r="338" spans="19:26" ht="15" customHeight="1" x14ac:dyDescent="0.25">
      <c r="S338"/>
      <c r="T338"/>
      <c r="U338"/>
      <c r="V338"/>
      <c r="W338"/>
      <c r="X338"/>
      <c r="Y338"/>
      <c r="Z338"/>
    </row>
    <row r="339" spans="19:26" ht="15" customHeight="1" x14ac:dyDescent="0.25">
      <c r="S339"/>
      <c r="T339"/>
      <c r="U339"/>
      <c r="V339"/>
      <c r="W339"/>
      <c r="X339"/>
      <c r="Y339"/>
      <c r="Z339"/>
    </row>
    <row r="340" spans="19:26" ht="15" customHeight="1" x14ac:dyDescent="0.25">
      <c r="S340"/>
      <c r="T340"/>
      <c r="U340"/>
      <c r="V340"/>
      <c r="W340"/>
      <c r="X340"/>
      <c r="Y340"/>
      <c r="Z340"/>
    </row>
    <row r="341" spans="19:26" ht="15" customHeight="1" x14ac:dyDescent="0.25">
      <c r="S341"/>
      <c r="T341"/>
      <c r="U341"/>
      <c r="V341"/>
      <c r="W341"/>
      <c r="X341"/>
      <c r="Y341"/>
      <c r="Z341"/>
    </row>
    <row r="342" spans="19:26" ht="15" customHeight="1" x14ac:dyDescent="0.25">
      <c r="S342"/>
      <c r="T342"/>
      <c r="U342"/>
      <c r="V342"/>
      <c r="W342"/>
      <c r="X342"/>
      <c r="Y342"/>
      <c r="Z342"/>
    </row>
    <row r="343" spans="19:26" ht="15" customHeight="1" x14ac:dyDescent="0.25">
      <c r="S343"/>
      <c r="T343"/>
      <c r="U343"/>
      <c r="V343"/>
      <c r="W343"/>
      <c r="X343"/>
      <c r="Y343"/>
      <c r="Z343"/>
    </row>
    <row r="344" spans="19:26" ht="15" customHeight="1" x14ac:dyDescent="0.25">
      <c r="S344"/>
      <c r="T344"/>
      <c r="U344"/>
      <c r="V344"/>
      <c r="W344"/>
      <c r="X344"/>
      <c r="Y344"/>
      <c r="Z344"/>
    </row>
    <row r="345" spans="19:26" ht="15" customHeight="1" x14ac:dyDescent="0.25">
      <c r="S345"/>
      <c r="T345"/>
      <c r="U345"/>
      <c r="V345"/>
      <c r="W345"/>
      <c r="X345"/>
      <c r="Y345"/>
      <c r="Z345"/>
    </row>
    <row r="346" spans="19:26" ht="15" customHeight="1" x14ac:dyDescent="0.25">
      <c r="S346"/>
      <c r="T346"/>
      <c r="U346"/>
      <c r="V346"/>
      <c r="W346"/>
      <c r="X346"/>
      <c r="Y346"/>
      <c r="Z346"/>
    </row>
    <row r="347" spans="19:26" ht="15" customHeight="1" x14ac:dyDescent="0.25">
      <c r="S347"/>
      <c r="T347"/>
      <c r="U347"/>
      <c r="V347"/>
      <c r="W347"/>
      <c r="X347"/>
      <c r="Y347"/>
      <c r="Z347"/>
    </row>
    <row r="348" spans="19:26" ht="15" customHeight="1" x14ac:dyDescent="0.25">
      <c r="S348"/>
      <c r="T348"/>
      <c r="U348"/>
      <c r="V348"/>
      <c r="W348"/>
      <c r="X348"/>
      <c r="Y348"/>
      <c r="Z348"/>
    </row>
    <row r="349" spans="19:26" ht="15" customHeight="1" x14ac:dyDescent="0.25">
      <c r="S349"/>
      <c r="T349"/>
      <c r="U349"/>
      <c r="V349"/>
      <c r="W349"/>
      <c r="X349"/>
      <c r="Y349"/>
      <c r="Z349"/>
    </row>
    <row r="350" spans="19:26" ht="15" customHeight="1" x14ac:dyDescent="0.25">
      <c r="S350"/>
      <c r="T350"/>
      <c r="U350"/>
      <c r="V350"/>
      <c r="W350"/>
      <c r="X350"/>
      <c r="Y350"/>
      <c r="Z350"/>
    </row>
    <row r="351" spans="19:26" ht="15" customHeight="1" x14ac:dyDescent="0.25">
      <c r="S351"/>
      <c r="T351"/>
      <c r="U351"/>
      <c r="V351"/>
      <c r="W351"/>
      <c r="X351"/>
      <c r="Y351"/>
      <c r="Z351"/>
    </row>
    <row r="352" spans="19:26" ht="15" customHeight="1" x14ac:dyDescent="0.25">
      <c r="S352"/>
      <c r="T352"/>
      <c r="U352"/>
      <c r="V352"/>
      <c r="W352"/>
      <c r="X352"/>
      <c r="Y352"/>
      <c r="Z352"/>
    </row>
    <row r="353" spans="19:26" ht="15" customHeight="1" x14ac:dyDescent="0.25">
      <c r="S353"/>
      <c r="T353"/>
      <c r="U353"/>
      <c r="V353"/>
      <c r="W353"/>
      <c r="X353"/>
      <c r="Y353"/>
      <c r="Z353"/>
    </row>
    <row r="354" spans="19:26" ht="15" customHeight="1" x14ac:dyDescent="0.25">
      <c r="S354"/>
      <c r="T354"/>
      <c r="U354"/>
      <c r="V354"/>
      <c r="W354"/>
      <c r="X354"/>
      <c r="Y354"/>
      <c r="Z354"/>
    </row>
    <row r="355" spans="19:26" ht="15" customHeight="1" x14ac:dyDescent="0.25">
      <c r="S355"/>
      <c r="T355"/>
      <c r="U355"/>
      <c r="V355"/>
      <c r="W355"/>
      <c r="X355"/>
      <c r="Y355"/>
      <c r="Z355"/>
    </row>
    <row r="356" spans="19:26" ht="15" customHeight="1" x14ac:dyDescent="0.25">
      <c r="S356"/>
      <c r="T356"/>
      <c r="U356"/>
      <c r="V356"/>
      <c r="W356"/>
      <c r="X356"/>
      <c r="Y356"/>
      <c r="Z356"/>
    </row>
    <row r="357" spans="19:26" ht="15" customHeight="1" x14ac:dyDescent="0.25">
      <c r="S357"/>
      <c r="T357"/>
      <c r="U357"/>
      <c r="V357"/>
      <c r="W357"/>
      <c r="X357"/>
      <c r="Y357"/>
      <c r="Z357"/>
    </row>
    <row r="358" spans="19:26" ht="15" customHeight="1" x14ac:dyDescent="0.25">
      <c r="S358"/>
      <c r="T358"/>
      <c r="U358"/>
      <c r="V358"/>
      <c r="W358"/>
      <c r="X358"/>
      <c r="Y358"/>
      <c r="Z358"/>
    </row>
    <row r="359" spans="19:26" ht="15" customHeight="1" x14ac:dyDescent="0.25">
      <c r="S359"/>
      <c r="T359"/>
      <c r="U359"/>
      <c r="V359"/>
      <c r="W359"/>
      <c r="X359"/>
      <c r="Y359"/>
      <c r="Z359"/>
    </row>
    <row r="360" spans="19:26" ht="15" customHeight="1" x14ac:dyDescent="0.25">
      <c r="S360"/>
      <c r="T360"/>
      <c r="U360"/>
      <c r="V360"/>
      <c r="W360"/>
      <c r="X360"/>
      <c r="Y360"/>
      <c r="Z360"/>
    </row>
    <row r="361" spans="19:26" ht="15" customHeight="1" x14ac:dyDescent="0.25">
      <c r="S361"/>
      <c r="T361"/>
      <c r="U361"/>
      <c r="V361"/>
      <c r="W361"/>
      <c r="X361"/>
      <c r="Y361"/>
      <c r="Z361"/>
    </row>
    <row r="362" spans="19:26" ht="15" customHeight="1" x14ac:dyDescent="0.25">
      <c r="S362"/>
      <c r="T362"/>
      <c r="U362"/>
      <c r="V362"/>
      <c r="W362"/>
      <c r="X362"/>
      <c r="Y362"/>
      <c r="Z362"/>
    </row>
    <row r="363" spans="19:26" ht="15" customHeight="1" x14ac:dyDescent="0.25">
      <c r="S363"/>
      <c r="T363"/>
      <c r="U363"/>
      <c r="V363"/>
      <c r="W363"/>
      <c r="X363"/>
      <c r="Y363"/>
      <c r="Z363"/>
    </row>
    <row r="364" spans="19:26" ht="15" customHeight="1" x14ac:dyDescent="0.25">
      <c r="S364"/>
      <c r="T364"/>
      <c r="U364"/>
      <c r="V364"/>
      <c r="W364"/>
      <c r="X364"/>
      <c r="Y364"/>
      <c r="Z364"/>
    </row>
    <row r="365" spans="19:26" ht="15" customHeight="1" x14ac:dyDescent="0.25">
      <c r="S365"/>
      <c r="T365"/>
      <c r="U365"/>
      <c r="V365"/>
      <c r="W365"/>
      <c r="X365"/>
      <c r="Y365"/>
      <c r="Z365"/>
    </row>
    <row r="366" spans="19:26" ht="15" customHeight="1" x14ac:dyDescent="0.25">
      <c r="S366"/>
      <c r="T366"/>
      <c r="U366"/>
      <c r="V366"/>
      <c r="W366"/>
      <c r="X366"/>
      <c r="Y366"/>
      <c r="Z366"/>
    </row>
    <row r="367" spans="19:26" ht="15" customHeight="1" x14ac:dyDescent="0.25">
      <c r="S367"/>
      <c r="T367"/>
      <c r="U367"/>
      <c r="V367"/>
      <c r="W367"/>
      <c r="X367"/>
      <c r="Y367"/>
      <c r="Z367"/>
    </row>
    <row r="368" spans="19:26" ht="15" customHeight="1" x14ac:dyDescent="0.25">
      <c r="S368"/>
      <c r="T368"/>
      <c r="U368"/>
      <c r="V368"/>
      <c r="W368"/>
      <c r="X368"/>
      <c r="Y368"/>
      <c r="Z368"/>
    </row>
    <row r="369" spans="19:26" ht="15" customHeight="1" x14ac:dyDescent="0.25">
      <c r="S369"/>
      <c r="T369"/>
      <c r="U369"/>
      <c r="V369"/>
      <c r="W369"/>
      <c r="X369"/>
      <c r="Y369"/>
      <c r="Z369"/>
    </row>
    <row r="370" spans="19:26" ht="15" customHeight="1" x14ac:dyDescent="0.25">
      <c r="S370"/>
      <c r="T370"/>
      <c r="U370"/>
      <c r="V370"/>
      <c r="W370"/>
      <c r="X370"/>
      <c r="Y370"/>
      <c r="Z370"/>
    </row>
    <row r="371" spans="19:26" ht="15" customHeight="1" x14ac:dyDescent="0.25">
      <c r="S371"/>
      <c r="T371"/>
      <c r="U371"/>
      <c r="V371"/>
      <c r="W371"/>
      <c r="X371"/>
      <c r="Y371"/>
      <c r="Z371"/>
    </row>
    <row r="372" spans="19:26" ht="15" customHeight="1" x14ac:dyDescent="0.25">
      <c r="S372"/>
      <c r="T372"/>
      <c r="U372"/>
      <c r="V372"/>
      <c r="W372"/>
      <c r="X372"/>
      <c r="Y372"/>
      <c r="Z372"/>
    </row>
    <row r="373" spans="19:26" ht="15" customHeight="1" x14ac:dyDescent="0.25">
      <c r="S373"/>
      <c r="T373"/>
      <c r="U373"/>
      <c r="V373"/>
      <c r="W373"/>
      <c r="X373"/>
      <c r="Y373"/>
      <c r="Z373"/>
    </row>
    <row r="374" spans="19:26" ht="15" customHeight="1" x14ac:dyDescent="0.25">
      <c r="S374"/>
      <c r="T374"/>
      <c r="U374"/>
      <c r="V374"/>
      <c r="W374"/>
      <c r="X374"/>
      <c r="Y374"/>
      <c r="Z374"/>
    </row>
    <row r="375" spans="19:26" ht="15" customHeight="1" x14ac:dyDescent="0.25">
      <c r="S375"/>
      <c r="T375"/>
      <c r="U375"/>
      <c r="V375"/>
      <c r="W375"/>
      <c r="X375"/>
      <c r="Y375"/>
      <c r="Z375"/>
    </row>
    <row r="376" spans="19:26" ht="15" customHeight="1" x14ac:dyDescent="0.25">
      <c r="S376"/>
      <c r="T376"/>
      <c r="U376"/>
      <c r="V376"/>
      <c r="W376"/>
      <c r="X376"/>
      <c r="Y376"/>
      <c r="Z376"/>
    </row>
    <row r="377" spans="19:26" ht="15" customHeight="1" x14ac:dyDescent="0.25">
      <c r="S377"/>
      <c r="T377"/>
      <c r="U377"/>
      <c r="V377"/>
      <c r="W377"/>
      <c r="X377"/>
      <c r="Y377"/>
      <c r="Z377"/>
    </row>
    <row r="378" spans="19:26" ht="15" customHeight="1" x14ac:dyDescent="0.25">
      <c r="S378"/>
      <c r="T378"/>
      <c r="U378"/>
      <c r="V378"/>
      <c r="W378"/>
      <c r="X378"/>
      <c r="Y378"/>
      <c r="Z378"/>
    </row>
    <row r="379" spans="19:26" ht="15" customHeight="1" x14ac:dyDescent="0.25">
      <c r="S379"/>
      <c r="T379"/>
      <c r="U379"/>
      <c r="V379"/>
      <c r="W379"/>
      <c r="X379"/>
      <c r="Y379"/>
      <c r="Z379"/>
    </row>
    <row r="380" spans="19:26" ht="15" customHeight="1" x14ac:dyDescent="0.25">
      <c r="S380"/>
      <c r="T380"/>
      <c r="U380"/>
      <c r="V380"/>
      <c r="W380"/>
      <c r="X380"/>
      <c r="Y380"/>
      <c r="Z380"/>
    </row>
    <row r="381" spans="19:26" ht="15" customHeight="1" x14ac:dyDescent="0.25">
      <c r="S381"/>
      <c r="T381"/>
      <c r="U381"/>
      <c r="V381"/>
      <c r="W381"/>
      <c r="X381"/>
      <c r="Y381"/>
      <c r="Z381"/>
    </row>
    <row r="382" spans="19:26" ht="15" customHeight="1" x14ac:dyDescent="0.25">
      <c r="S382"/>
      <c r="T382"/>
      <c r="U382"/>
      <c r="V382"/>
      <c r="W382"/>
      <c r="X382"/>
      <c r="Y382"/>
      <c r="Z382"/>
    </row>
    <row r="383" spans="19:26" ht="15" customHeight="1" x14ac:dyDescent="0.25">
      <c r="S383"/>
      <c r="T383"/>
      <c r="U383"/>
      <c r="V383"/>
      <c r="W383"/>
      <c r="X383"/>
      <c r="Y383"/>
      <c r="Z383"/>
    </row>
    <row r="384" spans="19:26" ht="15" customHeight="1" x14ac:dyDescent="0.25">
      <c r="S384"/>
      <c r="T384"/>
      <c r="U384"/>
      <c r="V384"/>
      <c r="W384"/>
      <c r="X384"/>
      <c r="Y384"/>
      <c r="Z384"/>
    </row>
    <row r="385" spans="19:26" ht="15" customHeight="1" x14ac:dyDescent="0.25">
      <c r="S385"/>
      <c r="T385"/>
      <c r="U385"/>
      <c r="V385"/>
      <c r="W385"/>
      <c r="X385"/>
      <c r="Y385"/>
      <c r="Z385"/>
    </row>
    <row r="386" spans="19:26" ht="15" customHeight="1" x14ac:dyDescent="0.25">
      <c r="S386"/>
      <c r="T386"/>
      <c r="U386"/>
      <c r="V386"/>
      <c r="W386"/>
      <c r="X386"/>
      <c r="Y386"/>
      <c r="Z386"/>
    </row>
    <row r="387" spans="19:26" ht="15" customHeight="1" x14ac:dyDescent="0.25">
      <c r="S387"/>
      <c r="T387"/>
      <c r="U387"/>
      <c r="V387"/>
      <c r="W387"/>
      <c r="X387"/>
      <c r="Y387"/>
      <c r="Z387"/>
    </row>
    <row r="388" spans="19:26" ht="15" customHeight="1" x14ac:dyDescent="0.25">
      <c r="S388"/>
      <c r="T388"/>
      <c r="U388"/>
      <c r="V388"/>
      <c r="W388"/>
      <c r="X388"/>
      <c r="Y388"/>
      <c r="Z388"/>
    </row>
    <row r="389" spans="19:26" ht="15" customHeight="1" x14ac:dyDescent="0.25">
      <c r="S389"/>
      <c r="T389"/>
      <c r="U389"/>
      <c r="V389"/>
      <c r="W389"/>
      <c r="X389"/>
      <c r="Y389"/>
      <c r="Z389"/>
    </row>
    <row r="390" spans="19:26" ht="15" customHeight="1" x14ac:dyDescent="0.25">
      <c r="S390"/>
      <c r="T390"/>
      <c r="U390"/>
      <c r="V390"/>
      <c r="W390"/>
      <c r="X390"/>
      <c r="Y390"/>
      <c r="Z390"/>
    </row>
    <row r="391" spans="19:26" ht="15" customHeight="1" x14ac:dyDescent="0.25">
      <c r="S391"/>
      <c r="T391"/>
      <c r="U391"/>
      <c r="V391"/>
      <c r="W391"/>
      <c r="X391"/>
      <c r="Y391"/>
      <c r="Z391"/>
    </row>
    <row r="392" spans="19:26" ht="15" customHeight="1" x14ac:dyDescent="0.25">
      <c r="S392"/>
      <c r="T392"/>
      <c r="U392"/>
      <c r="V392"/>
      <c r="W392"/>
      <c r="X392"/>
      <c r="Y392"/>
      <c r="Z392"/>
    </row>
    <row r="393" spans="19:26" ht="15" customHeight="1" x14ac:dyDescent="0.25">
      <c r="S393"/>
      <c r="T393"/>
      <c r="U393"/>
      <c r="V393"/>
      <c r="W393"/>
      <c r="X393"/>
      <c r="Y393"/>
      <c r="Z393"/>
    </row>
    <row r="394" spans="19:26" ht="15" customHeight="1" x14ac:dyDescent="0.25">
      <c r="S394"/>
      <c r="T394"/>
      <c r="U394"/>
      <c r="V394"/>
      <c r="W394"/>
      <c r="X394"/>
      <c r="Y394"/>
      <c r="Z394"/>
    </row>
    <row r="395" spans="19:26" ht="15" customHeight="1" x14ac:dyDescent="0.25">
      <c r="S395"/>
      <c r="T395"/>
      <c r="U395"/>
      <c r="V395"/>
      <c r="W395"/>
      <c r="X395"/>
      <c r="Y395"/>
      <c r="Z395"/>
    </row>
    <row r="396" spans="19:26" ht="15" customHeight="1" x14ac:dyDescent="0.25">
      <c r="S396"/>
      <c r="T396"/>
      <c r="U396"/>
      <c r="V396"/>
      <c r="W396"/>
      <c r="X396"/>
      <c r="Y396"/>
      <c r="Z396"/>
    </row>
    <row r="397" spans="19:26" ht="15" customHeight="1" x14ac:dyDescent="0.25">
      <c r="S397"/>
      <c r="T397"/>
      <c r="U397"/>
      <c r="V397"/>
      <c r="W397"/>
      <c r="X397"/>
      <c r="Y397"/>
      <c r="Z397"/>
    </row>
    <row r="398" spans="19:26" ht="15" customHeight="1" x14ac:dyDescent="0.25">
      <c r="S398"/>
      <c r="T398"/>
      <c r="U398"/>
      <c r="V398"/>
      <c r="W398"/>
      <c r="X398"/>
      <c r="Y398"/>
      <c r="Z398"/>
    </row>
    <row r="399" spans="19:26" ht="15" customHeight="1" x14ac:dyDescent="0.25">
      <c r="S399"/>
      <c r="T399"/>
      <c r="U399"/>
      <c r="V399"/>
      <c r="W399"/>
      <c r="X399"/>
      <c r="Y399"/>
      <c r="Z399"/>
    </row>
    <row r="400" spans="19:26" ht="15" customHeight="1" x14ac:dyDescent="0.25">
      <c r="S400"/>
      <c r="T400"/>
      <c r="U400"/>
      <c r="V400"/>
      <c r="W400"/>
      <c r="X400"/>
      <c r="Y400"/>
      <c r="Z400"/>
    </row>
    <row r="401" spans="19:26" ht="15" customHeight="1" x14ac:dyDescent="0.25">
      <c r="S401"/>
      <c r="T401"/>
      <c r="U401"/>
      <c r="V401"/>
      <c r="W401"/>
      <c r="X401"/>
      <c r="Y401"/>
      <c r="Z401"/>
    </row>
    <row r="402" spans="19:26" ht="15" customHeight="1" x14ac:dyDescent="0.25">
      <c r="S402"/>
      <c r="T402"/>
      <c r="U402"/>
      <c r="V402"/>
      <c r="W402"/>
      <c r="X402"/>
      <c r="Y402"/>
      <c r="Z402"/>
    </row>
    <row r="403" spans="19:26" ht="15" customHeight="1" x14ac:dyDescent="0.25">
      <c r="S403"/>
      <c r="T403"/>
      <c r="U403"/>
      <c r="V403"/>
      <c r="W403"/>
      <c r="X403"/>
      <c r="Y403"/>
      <c r="Z403"/>
    </row>
    <row r="404" spans="19:26" ht="15" customHeight="1" x14ac:dyDescent="0.25">
      <c r="S404"/>
      <c r="T404"/>
      <c r="U404"/>
      <c r="V404"/>
      <c r="W404"/>
      <c r="X404"/>
      <c r="Y404"/>
      <c r="Z404"/>
    </row>
    <row r="405" spans="19:26" ht="15" customHeight="1" x14ac:dyDescent="0.25">
      <c r="S405"/>
      <c r="T405"/>
      <c r="U405"/>
      <c r="V405"/>
      <c r="W405"/>
      <c r="X405"/>
      <c r="Y405"/>
      <c r="Z405"/>
    </row>
    <row r="406" spans="19:26" ht="15" customHeight="1" x14ac:dyDescent="0.25">
      <c r="S406"/>
      <c r="T406"/>
      <c r="U406"/>
      <c r="V406"/>
      <c r="W406"/>
      <c r="X406"/>
      <c r="Y406"/>
      <c r="Z406"/>
    </row>
    <row r="407" spans="19:26" ht="15" customHeight="1" x14ac:dyDescent="0.25">
      <c r="S407"/>
      <c r="T407"/>
      <c r="U407"/>
      <c r="V407"/>
      <c r="W407"/>
      <c r="X407"/>
      <c r="Y407"/>
      <c r="Z407"/>
    </row>
    <row r="408" spans="19:26" ht="15" customHeight="1" x14ac:dyDescent="0.25">
      <c r="S408"/>
      <c r="T408"/>
      <c r="U408"/>
      <c r="V408"/>
      <c r="W408"/>
      <c r="X408"/>
      <c r="Y408"/>
      <c r="Z408"/>
    </row>
    <row r="409" spans="19:26" ht="15" customHeight="1" x14ac:dyDescent="0.25">
      <c r="S409"/>
      <c r="T409"/>
      <c r="U409"/>
      <c r="V409"/>
      <c r="W409"/>
      <c r="X409"/>
      <c r="Y409"/>
      <c r="Z409"/>
    </row>
    <row r="410" spans="19:26" ht="15" customHeight="1" x14ac:dyDescent="0.25">
      <c r="S410"/>
      <c r="T410"/>
      <c r="U410"/>
      <c r="V410"/>
      <c r="W410"/>
      <c r="X410"/>
      <c r="Y410"/>
      <c r="Z410"/>
    </row>
    <row r="411" spans="19:26" ht="15" customHeight="1" x14ac:dyDescent="0.25">
      <c r="S411"/>
      <c r="T411"/>
      <c r="U411"/>
      <c r="V411"/>
      <c r="W411"/>
      <c r="X411"/>
      <c r="Y411"/>
      <c r="Z411"/>
    </row>
    <row r="412" spans="19:26" ht="15" customHeight="1" x14ac:dyDescent="0.25">
      <c r="S412"/>
      <c r="T412"/>
      <c r="U412"/>
      <c r="V412"/>
      <c r="W412"/>
      <c r="X412"/>
      <c r="Y412"/>
      <c r="Z412"/>
    </row>
    <row r="413" spans="19:26" ht="15" customHeight="1" x14ac:dyDescent="0.25">
      <c r="S413"/>
      <c r="T413"/>
      <c r="U413"/>
      <c r="V413"/>
      <c r="W413"/>
      <c r="X413"/>
      <c r="Y413"/>
      <c r="Z413"/>
    </row>
    <row r="414" spans="19:26" ht="15" customHeight="1" x14ac:dyDescent="0.25">
      <c r="S414"/>
      <c r="T414"/>
      <c r="U414"/>
      <c r="V414"/>
      <c r="W414"/>
      <c r="X414"/>
      <c r="Y414"/>
      <c r="Z414"/>
    </row>
    <row r="415" spans="19:26" ht="15" customHeight="1" x14ac:dyDescent="0.25">
      <c r="S415"/>
      <c r="T415"/>
      <c r="U415"/>
      <c r="V415"/>
      <c r="W415"/>
      <c r="X415"/>
      <c r="Y415"/>
      <c r="Z415"/>
    </row>
    <row r="416" spans="19:26" ht="15" customHeight="1" x14ac:dyDescent="0.25">
      <c r="S416"/>
      <c r="T416"/>
      <c r="U416"/>
      <c r="V416"/>
      <c r="W416"/>
      <c r="X416"/>
      <c r="Y416"/>
      <c r="Z416"/>
    </row>
    <row r="417" spans="19:26" ht="15" customHeight="1" x14ac:dyDescent="0.25">
      <c r="S417"/>
      <c r="T417"/>
      <c r="U417"/>
      <c r="V417"/>
      <c r="W417"/>
      <c r="X417"/>
      <c r="Y417"/>
      <c r="Z417"/>
    </row>
    <row r="418" spans="19:26" ht="15" customHeight="1" x14ac:dyDescent="0.25">
      <c r="S418"/>
      <c r="T418"/>
      <c r="U418"/>
      <c r="V418"/>
      <c r="W418"/>
      <c r="X418"/>
      <c r="Y418"/>
      <c r="Z418"/>
    </row>
    <row r="419" spans="19:26" ht="15" customHeight="1" x14ac:dyDescent="0.25">
      <c r="S419"/>
      <c r="T419"/>
      <c r="U419"/>
      <c r="V419"/>
      <c r="W419"/>
      <c r="X419"/>
      <c r="Y419"/>
      <c r="Z419"/>
    </row>
    <row r="420" spans="19:26" ht="15" customHeight="1" x14ac:dyDescent="0.25">
      <c r="S420"/>
      <c r="T420"/>
      <c r="U420"/>
      <c r="V420"/>
      <c r="W420"/>
      <c r="X420"/>
      <c r="Y420"/>
      <c r="Z420"/>
    </row>
    <row r="421" spans="19:26" ht="15" customHeight="1" x14ac:dyDescent="0.25">
      <c r="S421"/>
      <c r="T421"/>
      <c r="U421"/>
      <c r="V421"/>
      <c r="W421"/>
      <c r="X421"/>
      <c r="Y421"/>
      <c r="Z421"/>
    </row>
    <row r="422" spans="19:26" ht="15" customHeight="1" x14ac:dyDescent="0.25">
      <c r="S422"/>
      <c r="T422"/>
      <c r="U422"/>
      <c r="V422"/>
      <c r="W422"/>
      <c r="X422"/>
      <c r="Y422"/>
      <c r="Z422"/>
    </row>
    <row r="423" spans="19:26" ht="15" customHeight="1" x14ac:dyDescent="0.25">
      <c r="S423"/>
      <c r="T423"/>
      <c r="U423"/>
      <c r="V423"/>
      <c r="W423"/>
      <c r="X423"/>
      <c r="Y423"/>
      <c r="Z423"/>
    </row>
    <row r="424" spans="19:26" ht="15" customHeight="1" x14ac:dyDescent="0.25">
      <c r="S424"/>
      <c r="T424"/>
      <c r="U424"/>
      <c r="V424"/>
      <c r="W424"/>
      <c r="X424"/>
      <c r="Y424"/>
      <c r="Z424"/>
    </row>
    <row r="425" spans="19:26" ht="15" customHeight="1" x14ac:dyDescent="0.25">
      <c r="S425"/>
      <c r="T425"/>
      <c r="U425"/>
      <c r="V425"/>
      <c r="W425"/>
      <c r="X425"/>
      <c r="Y425"/>
      <c r="Z425"/>
    </row>
    <row r="426" spans="19:26" ht="15" customHeight="1" x14ac:dyDescent="0.25">
      <c r="S426"/>
      <c r="T426"/>
      <c r="U426"/>
      <c r="V426"/>
      <c r="W426"/>
      <c r="X426"/>
      <c r="Y426"/>
      <c r="Z426"/>
    </row>
    <row r="427" spans="19:26" ht="15" customHeight="1" x14ac:dyDescent="0.25">
      <c r="S427"/>
      <c r="T427"/>
      <c r="U427"/>
      <c r="V427"/>
      <c r="W427"/>
      <c r="X427"/>
      <c r="Y427"/>
      <c r="Z427"/>
    </row>
    <row r="428" spans="19:26" ht="15" customHeight="1" x14ac:dyDescent="0.25">
      <c r="S428"/>
      <c r="T428"/>
      <c r="U428"/>
      <c r="V428"/>
      <c r="W428"/>
      <c r="X428"/>
      <c r="Y428"/>
      <c r="Z428"/>
    </row>
    <row r="429" spans="19:26" ht="15" customHeight="1" x14ac:dyDescent="0.25">
      <c r="S429"/>
      <c r="T429"/>
      <c r="U429"/>
      <c r="V429"/>
      <c r="W429"/>
      <c r="X429"/>
      <c r="Y429"/>
      <c r="Z429"/>
    </row>
    <row r="430" spans="19:26" ht="15" customHeight="1" x14ac:dyDescent="0.25">
      <c r="S430"/>
      <c r="T430"/>
      <c r="U430"/>
      <c r="V430"/>
      <c r="W430"/>
      <c r="X430"/>
      <c r="Y430"/>
      <c r="Z430"/>
    </row>
    <row r="431" spans="19:26" ht="15" customHeight="1" x14ac:dyDescent="0.25">
      <c r="S431"/>
      <c r="T431"/>
      <c r="U431"/>
      <c r="V431"/>
      <c r="W431"/>
      <c r="X431"/>
      <c r="Y431"/>
      <c r="Z431"/>
    </row>
    <row r="432" spans="19:26" ht="15" customHeight="1" x14ac:dyDescent="0.25">
      <c r="S432"/>
      <c r="T432"/>
      <c r="U432"/>
      <c r="V432"/>
      <c r="W432"/>
      <c r="X432"/>
      <c r="Y432"/>
      <c r="Z432"/>
    </row>
    <row r="433" spans="19:26" ht="15" customHeight="1" x14ac:dyDescent="0.25">
      <c r="S433"/>
      <c r="T433"/>
      <c r="U433"/>
      <c r="V433"/>
      <c r="W433"/>
      <c r="X433"/>
      <c r="Y433"/>
      <c r="Z433"/>
    </row>
    <row r="434" spans="19:26" ht="15" customHeight="1" x14ac:dyDescent="0.25">
      <c r="S434"/>
      <c r="T434"/>
      <c r="U434"/>
      <c r="V434"/>
      <c r="W434"/>
      <c r="X434"/>
      <c r="Y434"/>
      <c r="Z434"/>
    </row>
    <row r="435" spans="19:26" ht="15" customHeight="1" x14ac:dyDescent="0.25">
      <c r="S435"/>
      <c r="T435"/>
      <c r="U435"/>
      <c r="V435"/>
      <c r="W435"/>
      <c r="X435"/>
      <c r="Y435"/>
      <c r="Z435"/>
    </row>
    <row r="436" spans="19:26" ht="15" customHeight="1" x14ac:dyDescent="0.25">
      <c r="S436"/>
      <c r="T436"/>
      <c r="U436"/>
      <c r="V436"/>
      <c r="W436"/>
      <c r="X436"/>
      <c r="Y436"/>
      <c r="Z436"/>
    </row>
    <row r="437" spans="19:26" ht="15" customHeight="1" x14ac:dyDescent="0.25">
      <c r="S437"/>
      <c r="T437"/>
      <c r="U437"/>
      <c r="V437"/>
      <c r="W437"/>
      <c r="X437"/>
      <c r="Y437"/>
      <c r="Z437"/>
    </row>
    <row r="438" spans="19:26" ht="15" customHeight="1" x14ac:dyDescent="0.25">
      <c r="S438"/>
      <c r="T438"/>
      <c r="U438"/>
      <c r="V438"/>
      <c r="W438"/>
      <c r="X438"/>
      <c r="Y438"/>
      <c r="Z438"/>
    </row>
    <row r="439" spans="19:26" ht="15" customHeight="1" x14ac:dyDescent="0.25">
      <c r="S439"/>
      <c r="T439"/>
      <c r="U439"/>
      <c r="V439"/>
      <c r="W439"/>
      <c r="X439"/>
      <c r="Y439"/>
      <c r="Z439"/>
    </row>
    <row r="440" spans="19:26" ht="15" customHeight="1" x14ac:dyDescent="0.25">
      <c r="S440"/>
      <c r="T440"/>
      <c r="U440"/>
      <c r="V440"/>
      <c r="W440"/>
      <c r="X440"/>
      <c r="Y440"/>
      <c r="Z440"/>
    </row>
    <row r="441" spans="19:26" ht="15" customHeight="1" x14ac:dyDescent="0.25">
      <c r="S441"/>
      <c r="T441"/>
      <c r="U441"/>
      <c r="V441"/>
      <c r="W441"/>
      <c r="X441"/>
      <c r="Y441"/>
      <c r="Z441"/>
    </row>
    <row r="442" spans="19:26" ht="15" customHeight="1" x14ac:dyDescent="0.25">
      <c r="S442"/>
      <c r="T442"/>
      <c r="U442"/>
      <c r="V442"/>
      <c r="W442"/>
      <c r="X442"/>
      <c r="Y442"/>
      <c r="Z442"/>
    </row>
    <row r="443" spans="19:26" ht="15" customHeight="1" x14ac:dyDescent="0.25">
      <c r="S443"/>
      <c r="T443"/>
      <c r="U443"/>
      <c r="V443"/>
      <c r="W443"/>
      <c r="X443"/>
      <c r="Y443"/>
      <c r="Z443"/>
    </row>
    <row r="444" spans="19:26" ht="15" customHeight="1" x14ac:dyDescent="0.25">
      <c r="S444"/>
      <c r="T444"/>
      <c r="U444"/>
      <c r="V444"/>
      <c r="W444"/>
      <c r="X444"/>
      <c r="Y444"/>
      <c r="Z444"/>
    </row>
    <row r="445" spans="19:26" ht="15" customHeight="1" x14ac:dyDescent="0.25">
      <c r="S445"/>
      <c r="T445"/>
      <c r="U445"/>
      <c r="V445"/>
      <c r="W445"/>
      <c r="X445"/>
      <c r="Y445"/>
      <c r="Z445"/>
    </row>
    <row r="446" spans="19:26" ht="15" customHeight="1" x14ac:dyDescent="0.25">
      <c r="S446"/>
      <c r="T446"/>
      <c r="U446"/>
      <c r="V446"/>
      <c r="W446"/>
      <c r="X446"/>
      <c r="Y446"/>
      <c r="Z446"/>
    </row>
    <row r="447" spans="19:26" ht="15" customHeight="1" x14ac:dyDescent="0.25">
      <c r="S447"/>
      <c r="T447"/>
      <c r="U447"/>
      <c r="V447"/>
      <c r="W447"/>
      <c r="X447"/>
      <c r="Y447"/>
      <c r="Z447"/>
    </row>
    <row r="448" spans="19:26" ht="15" customHeight="1" x14ac:dyDescent="0.25">
      <c r="S448"/>
      <c r="T448"/>
      <c r="U448"/>
      <c r="V448"/>
      <c r="W448"/>
      <c r="X448"/>
      <c r="Y448"/>
      <c r="Z448"/>
    </row>
    <row r="449" spans="19:26" ht="15" customHeight="1" x14ac:dyDescent="0.25">
      <c r="S449"/>
      <c r="T449"/>
      <c r="U449"/>
      <c r="V449"/>
      <c r="W449"/>
      <c r="X449"/>
      <c r="Y449"/>
      <c r="Z449"/>
    </row>
    <row r="450" spans="19:26" ht="15" customHeight="1" x14ac:dyDescent="0.25">
      <c r="S450"/>
      <c r="T450"/>
      <c r="U450"/>
      <c r="V450"/>
      <c r="W450"/>
      <c r="X450"/>
      <c r="Y450"/>
      <c r="Z450"/>
    </row>
    <row r="451" spans="19:26" ht="15" customHeight="1" x14ac:dyDescent="0.25">
      <c r="S451"/>
      <c r="T451"/>
      <c r="U451"/>
      <c r="V451"/>
      <c r="W451"/>
      <c r="X451"/>
      <c r="Y451"/>
      <c r="Z451"/>
    </row>
    <row r="452" spans="19:26" ht="15" customHeight="1" x14ac:dyDescent="0.25">
      <c r="S452"/>
      <c r="T452"/>
      <c r="U452"/>
      <c r="V452"/>
      <c r="W452"/>
      <c r="X452"/>
      <c r="Y452"/>
      <c r="Z452"/>
    </row>
    <row r="453" spans="19:26" ht="15" customHeight="1" x14ac:dyDescent="0.25">
      <c r="S453"/>
      <c r="T453"/>
      <c r="U453"/>
      <c r="V453"/>
      <c r="W453"/>
      <c r="X453"/>
      <c r="Y453"/>
      <c r="Z453"/>
    </row>
    <row r="454" spans="19:26" ht="15" customHeight="1" x14ac:dyDescent="0.25">
      <c r="S454"/>
      <c r="T454"/>
      <c r="U454"/>
      <c r="V454"/>
      <c r="W454"/>
      <c r="X454"/>
      <c r="Y454"/>
      <c r="Z454"/>
    </row>
    <row r="455" spans="19:26" ht="15" customHeight="1" x14ac:dyDescent="0.25">
      <c r="S455"/>
      <c r="T455"/>
      <c r="U455"/>
      <c r="V455"/>
      <c r="W455"/>
      <c r="X455"/>
      <c r="Y455"/>
      <c r="Z455"/>
    </row>
    <row r="456" spans="19:26" ht="15" customHeight="1" x14ac:dyDescent="0.25">
      <c r="S456"/>
      <c r="T456"/>
      <c r="U456"/>
      <c r="V456"/>
      <c r="W456"/>
      <c r="X456"/>
      <c r="Y456"/>
      <c r="Z456"/>
    </row>
    <row r="457" spans="19:26" ht="15" customHeight="1" x14ac:dyDescent="0.25">
      <c r="S457"/>
      <c r="T457"/>
      <c r="U457"/>
      <c r="V457"/>
      <c r="W457"/>
      <c r="X457"/>
      <c r="Y457"/>
      <c r="Z457"/>
    </row>
    <row r="458" spans="19:26" ht="15" customHeight="1" x14ac:dyDescent="0.25">
      <c r="S458"/>
      <c r="T458"/>
      <c r="U458"/>
      <c r="V458"/>
      <c r="W458"/>
      <c r="X458"/>
      <c r="Y458"/>
      <c r="Z458"/>
    </row>
    <row r="459" spans="19:26" ht="15" customHeight="1" x14ac:dyDescent="0.25">
      <c r="S459"/>
      <c r="T459"/>
      <c r="U459"/>
      <c r="V459"/>
      <c r="W459"/>
      <c r="X459"/>
      <c r="Y459"/>
      <c r="Z459"/>
    </row>
    <row r="460" spans="19:26" ht="15" customHeight="1" x14ac:dyDescent="0.25">
      <c r="S460"/>
      <c r="T460"/>
      <c r="U460"/>
      <c r="V460"/>
      <c r="W460"/>
      <c r="X460"/>
      <c r="Y460"/>
      <c r="Z460"/>
    </row>
    <row r="461" spans="19:26" ht="15" customHeight="1" x14ac:dyDescent="0.25">
      <c r="S461"/>
      <c r="T461"/>
      <c r="U461"/>
      <c r="V461"/>
      <c r="W461"/>
      <c r="X461"/>
      <c r="Y461"/>
      <c r="Z461"/>
    </row>
    <row r="462" spans="19:26" ht="15" customHeight="1" x14ac:dyDescent="0.25">
      <c r="S462"/>
      <c r="T462"/>
      <c r="U462"/>
      <c r="V462"/>
      <c r="W462"/>
      <c r="X462"/>
      <c r="Y462"/>
      <c r="Z462"/>
    </row>
    <row r="463" spans="19:26" ht="15" customHeight="1" x14ac:dyDescent="0.25">
      <c r="S463"/>
      <c r="T463"/>
      <c r="U463"/>
      <c r="V463"/>
      <c r="W463"/>
      <c r="X463"/>
      <c r="Y463"/>
      <c r="Z463"/>
    </row>
    <row r="464" spans="19:26" ht="15" customHeight="1" x14ac:dyDescent="0.25">
      <c r="S464"/>
      <c r="T464"/>
      <c r="U464"/>
      <c r="V464"/>
      <c r="W464"/>
      <c r="X464"/>
      <c r="Y464"/>
      <c r="Z464"/>
    </row>
    <row r="465" spans="19:26" ht="15" customHeight="1" x14ac:dyDescent="0.25">
      <c r="S465"/>
      <c r="T465"/>
      <c r="U465"/>
      <c r="V465"/>
      <c r="W465"/>
      <c r="X465"/>
      <c r="Y465"/>
      <c r="Z465"/>
    </row>
    <row r="466" spans="19:26" ht="15" customHeight="1" x14ac:dyDescent="0.25">
      <c r="S466"/>
      <c r="T466"/>
      <c r="U466"/>
      <c r="V466"/>
      <c r="W466"/>
      <c r="X466"/>
      <c r="Y466"/>
      <c r="Z466"/>
    </row>
    <row r="467" spans="19:26" ht="15" customHeight="1" x14ac:dyDescent="0.25">
      <c r="S467"/>
      <c r="T467"/>
      <c r="U467"/>
      <c r="V467"/>
      <c r="W467"/>
      <c r="X467"/>
      <c r="Y467"/>
      <c r="Z467"/>
    </row>
    <row r="468" spans="19:26" ht="15" customHeight="1" x14ac:dyDescent="0.25">
      <c r="S468"/>
      <c r="T468"/>
      <c r="U468"/>
      <c r="V468"/>
      <c r="W468"/>
      <c r="X468"/>
      <c r="Y468"/>
      <c r="Z468"/>
    </row>
    <row r="469" spans="19:26" ht="15" customHeight="1" x14ac:dyDescent="0.25">
      <c r="S469"/>
      <c r="T469"/>
      <c r="U469"/>
      <c r="V469"/>
      <c r="W469"/>
      <c r="X469"/>
      <c r="Y469"/>
      <c r="Z469"/>
    </row>
    <row r="470" spans="19:26" ht="15" customHeight="1" x14ac:dyDescent="0.25">
      <c r="S470"/>
      <c r="T470"/>
      <c r="U470"/>
      <c r="V470"/>
      <c r="W470"/>
      <c r="X470"/>
      <c r="Y470"/>
      <c r="Z470"/>
    </row>
    <row r="471" spans="19:26" ht="15" customHeight="1" x14ac:dyDescent="0.25">
      <c r="S471"/>
      <c r="T471"/>
      <c r="U471"/>
      <c r="V471"/>
      <c r="W471"/>
      <c r="X471"/>
      <c r="Y471"/>
      <c r="Z471"/>
    </row>
    <row r="472" spans="19:26" ht="15" customHeight="1" x14ac:dyDescent="0.25">
      <c r="S472"/>
      <c r="T472"/>
      <c r="U472"/>
      <c r="V472"/>
      <c r="W472"/>
      <c r="X472"/>
      <c r="Y472"/>
      <c r="Z472"/>
    </row>
    <row r="473" spans="19:26" ht="15" customHeight="1" x14ac:dyDescent="0.25">
      <c r="S473"/>
      <c r="T473"/>
      <c r="U473"/>
      <c r="V473"/>
      <c r="W473"/>
      <c r="X473"/>
      <c r="Y473"/>
      <c r="Z473"/>
    </row>
    <row r="474" spans="19:26" ht="15" customHeight="1" x14ac:dyDescent="0.25">
      <c r="S474"/>
      <c r="T474"/>
      <c r="U474"/>
      <c r="V474"/>
      <c r="W474"/>
      <c r="X474"/>
      <c r="Y474"/>
      <c r="Z474"/>
    </row>
    <row r="475" spans="19:26" ht="15" customHeight="1" x14ac:dyDescent="0.25">
      <c r="S475"/>
      <c r="T475"/>
      <c r="U475"/>
      <c r="V475"/>
      <c r="W475"/>
      <c r="X475"/>
      <c r="Y475"/>
      <c r="Z475"/>
    </row>
    <row r="476" spans="19:26" ht="15" customHeight="1" x14ac:dyDescent="0.25">
      <c r="S476"/>
      <c r="T476"/>
      <c r="U476"/>
      <c r="V476"/>
      <c r="W476"/>
      <c r="X476"/>
      <c r="Y476"/>
      <c r="Z476"/>
    </row>
    <row r="477" spans="19:26" ht="15" customHeight="1" x14ac:dyDescent="0.25">
      <c r="S477"/>
      <c r="T477"/>
      <c r="U477"/>
      <c r="V477"/>
      <c r="W477"/>
      <c r="X477"/>
      <c r="Y477"/>
      <c r="Z477"/>
    </row>
    <row r="478" spans="19:26" ht="15" customHeight="1" x14ac:dyDescent="0.25">
      <c r="S478"/>
      <c r="T478"/>
      <c r="U478"/>
      <c r="V478"/>
      <c r="W478"/>
      <c r="X478"/>
      <c r="Y478"/>
      <c r="Z478"/>
    </row>
    <row r="479" spans="19:26" ht="15" customHeight="1" x14ac:dyDescent="0.25">
      <c r="S479"/>
      <c r="T479"/>
      <c r="U479"/>
      <c r="V479"/>
      <c r="W479"/>
      <c r="X479"/>
      <c r="Y479"/>
      <c r="Z479"/>
    </row>
    <row r="480" spans="19:26" ht="15" customHeight="1" x14ac:dyDescent="0.25">
      <c r="S480"/>
      <c r="T480"/>
      <c r="U480"/>
      <c r="V480"/>
      <c r="W480"/>
      <c r="X480"/>
      <c r="Y480"/>
      <c r="Z480"/>
    </row>
    <row r="481" spans="19:26" ht="15" customHeight="1" x14ac:dyDescent="0.25">
      <c r="S481"/>
      <c r="T481"/>
      <c r="U481"/>
      <c r="V481"/>
      <c r="W481"/>
      <c r="X481"/>
      <c r="Y481"/>
      <c r="Z481"/>
    </row>
    <row r="482" spans="19:26" ht="15" customHeight="1" x14ac:dyDescent="0.25">
      <c r="S482"/>
      <c r="T482"/>
      <c r="U482"/>
      <c r="V482"/>
      <c r="W482"/>
      <c r="X482"/>
      <c r="Y482"/>
      <c r="Z482"/>
    </row>
    <row r="483" spans="19:26" ht="15" customHeight="1" x14ac:dyDescent="0.25">
      <c r="S483"/>
      <c r="T483"/>
      <c r="U483"/>
      <c r="V483"/>
      <c r="W483"/>
      <c r="X483"/>
      <c r="Y483"/>
      <c r="Z483"/>
    </row>
    <row r="484" spans="19:26" ht="15" customHeight="1" x14ac:dyDescent="0.25">
      <c r="S484"/>
      <c r="T484"/>
      <c r="U484"/>
      <c r="V484"/>
      <c r="W484"/>
      <c r="X484"/>
      <c r="Y484"/>
      <c r="Z484"/>
    </row>
    <row r="485" spans="19:26" ht="15" customHeight="1" x14ac:dyDescent="0.25">
      <c r="S485"/>
      <c r="T485"/>
      <c r="U485"/>
      <c r="V485"/>
      <c r="W485"/>
      <c r="X485"/>
      <c r="Y485"/>
      <c r="Z485"/>
    </row>
    <row r="486" spans="19:26" ht="15" customHeight="1" x14ac:dyDescent="0.25">
      <c r="S486"/>
      <c r="T486"/>
      <c r="U486"/>
      <c r="V486"/>
      <c r="W486"/>
      <c r="X486"/>
      <c r="Y486"/>
      <c r="Z486"/>
    </row>
    <row r="487" spans="19:26" ht="15" customHeight="1" x14ac:dyDescent="0.25">
      <c r="S487"/>
      <c r="T487"/>
      <c r="U487"/>
      <c r="V487"/>
      <c r="W487"/>
      <c r="X487"/>
      <c r="Y487"/>
      <c r="Z487"/>
    </row>
    <row r="488" spans="19:26" ht="15" customHeight="1" x14ac:dyDescent="0.25">
      <c r="S488"/>
      <c r="T488"/>
      <c r="U488"/>
      <c r="V488"/>
      <c r="W488"/>
      <c r="X488"/>
      <c r="Y488"/>
      <c r="Z488"/>
    </row>
    <row r="489" spans="19:26" ht="15" customHeight="1" x14ac:dyDescent="0.25">
      <c r="S489"/>
      <c r="T489"/>
      <c r="U489"/>
      <c r="V489"/>
      <c r="W489"/>
      <c r="X489"/>
      <c r="Y489"/>
      <c r="Z489"/>
    </row>
    <row r="490" spans="19:26" ht="15" customHeight="1" x14ac:dyDescent="0.25">
      <c r="S490"/>
      <c r="T490"/>
      <c r="U490"/>
      <c r="V490"/>
      <c r="W490"/>
      <c r="X490"/>
      <c r="Y490"/>
      <c r="Z490"/>
    </row>
    <row r="491" spans="19:26" ht="15" customHeight="1" x14ac:dyDescent="0.25">
      <c r="S491"/>
      <c r="T491"/>
      <c r="U491"/>
      <c r="V491"/>
      <c r="W491"/>
      <c r="X491"/>
      <c r="Y491"/>
      <c r="Z491"/>
    </row>
    <row r="492" spans="19:26" ht="15" customHeight="1" x14ac:dyDescent="0.25">
      <c r="S492"/>
      <c r="T492"/>
      <c r="U492"/>
      <c r="V492"/>
      <c r="W492"/>
      <c r="X492"/>
      <c r="Y492"/>
      <c r="Z492"/>
    </row>
    <row r="493" spans="19:26" ht="15" customHeight="1" x14ac:dyDescent="0.25">
      <c r="S493"/>
      <c r="T493"/>
      <c r="U493"/>
      <c r="V493"/>
      <c r="W493"/>
      <c r="X493"/>
      <c r="Y493"/>
      <c r="Z493"/>
    </row>
    <row r="494" spans="19:26" ht="15" customHeight="1" x14ac:dyDescent="0.25">
      <c r="S494"/>
      <c r="T494"/>
      <c r="U494"/>
      <c r="V494"/>
      <c r="W494"/>
      <c r="X494"/>
      <c r="Y494"/>
      <c r="Z494"/>
    </row>
    <row r="495" spans="19:26" ht="15" customHeight="1" x14ac:dyDescent="0.25">
      <c r="S495"/>
      <c r="T495"/>
      <c r="U495"/>
      <c r="V495"/>
      <c r="W495"/>
      <c r="X495"/>
      <c r="Y495"/>
      <c r="Z495"/>
    </row>
    <row r="496" spans="19:26" ht="15" customHeight="1" x14ac:dyDescent="0.25">
      <c r="S496"/>
      <c r="T496"/>
      <c r="U496"/>
      <c r="V496"/>
      <c r="W496"/>
      <c r="X496"/>
      <c r="Y496"/>
      <c r="Z496"/>
    </row>
    <row r="497" spans="19:26" ht="15" customHeight="1" x14ac:dyDescent="0.25">
      <c r="S497"/>
      <c r="T497"/>
      <c r="U497"/>
      <c r="V497"/>
      <c r="W497"/>
      <c r="X497"/>
      <c r="Y497"/>
      <c r="Z497"/>
    </row>
    <row r="498" spans="19:26" ht="15" customHeight="1" x14ac:dyDescent="0.25">
      <c r="S498"/>
      <c r="T498"/>
      <c r="U498"/>
      <c r="V498"/>
      <c r="W498"/>
      <c r="X498"/>
      <c r="Y498"/>
      <c r="Z498"/>
    </row>
    <row r="499" spans="19:26" ht="15" customHeight="1" x14ac:dyDescent="0.25">
      <c r="S499"/>
      <c r="T499"/>
      <c r="U499"/>
      <c r="V499"/>
      <c r="W499"/>
      <c r="X499"/>
      <c r="Y499"/>
      <c r="Z499"/>
    </row>
    <row r="500" spans="19:26" ht="15" customHeight="1" x14ac:dyDescent="0.25">
      <c r="S500"/>
      <c r="T500"/>
      <c r="U500"/>
      <c r="V500"/>
      <c r="W500"/>
      <c r="X500"/>
      <c r="Y500"/>
      <c r="Z500"/>
    </row>
    <row r="501" spans="19:26" ht="15" customHeight="1" x14ac:dyDescent="0.25">
      <c r="S501"/>
      <c r="T501"/>
      <c r="U501"/>
      <c r="V501"/>
      <c r="W501"/>
      <c r="X501"/>
      <c r="Y501"/>
      <c r="Z501"/>
    </row>
    <row r="502" spans="19:26" ht="15" customHeight="1" x14ac:dyDescent="0.25">
      <c r="S502"/>
      <c r="T502"/>
      <c r="U502"/>
      <c r="V502"/>
      <c r="W502"/>
      <c r="X502"/>
      <c r="Y502"/>
      <c r="Z502"/>
    </row>
    <row r="503" spans="19:26" ht="15" customHeight="1" x14ac:dyDescent="0.25">
      <c r="S503"/>
      <c r="T503"/>
      <c r="U503"/>
      <c r="V503"/>
      <c r="W503"/>
      <c r="X503"/>
      <c r="Y503"/>
      <c r="Z503"/>
    </row>
    <row r="504" spans="19:26" ht="15" customHeight="1" x14ac:dyDescent="0.25">
      <c r="S504"/>
      <c r="T504"/>
      <c r="U504"/>
      <c r="V504"/>
      <c r="W504"/>
      <c r="X504"/>
      <c r="Y504"/>
      <c r="Z504"/>
    </row>
    <row r="505" spans="19:26" ht="15" customHeight="1" x14ac:dyDescent="0.25">
      <c r="S505"/>
      <c r="T505"/>
      <c r="U505"/>
      <c r="V505"/>
      <c r="W505"/>
      <c r="X505"/>
      <c r="Y505"/>
      <c r="Z505"/>
    </row>
    <row r="506" spans="19:26" ht="15" customHeight="1" x14ac:dyDescent="0.25">
      <c r="S506"/>
      <c r="T506"/>
      <c r="U506"/>
      <c r="V506"/>
      <c r="W506"/>
      <c r="X506"/>
      <c r="Y506"/>
      <c r="Z506"/>
    </row>
    <row r="507" spans="19:26" ht="15" customHeight="1" x14ac:dyDescent="0.25">
      <c r="S507"/>
      <c r="T507"/>
      <c r="U507"/>
      <c r="V507"/>
      <c r="W507"/>
      <c r="X507"/>
      <c r="Y507"/>
      <c r="Z507"/>
    </row>
    <row r="508" spans="19:26" ht="15" customHeight="1" x14ac:dyDescent="0.25">
      <c r="S508"/>
      <c r="T508"/>
      <c r="U508"/>
      <c r="V508"/>
      <c r="W508"/>
      <c r="X508"/>
      <c r="Y508"/>
      <c r="Z508"/>
    </row>
    <row r="509" spans="19:26" ht="15" customHeight="1" x14ac:dyDescent="0.25">
      <c r="S509"/>
      <c r="T509"/>
      <c r="U509"/>
      <c r="V509"/>
      <c r="W509"/>
      <c r="X509"/>
      <c r="Y509"/>
      <c r="Z509"/>
    </row>
    <row r="510" spans="19:26" ht="15" customHeight="1" x14ac:dyDescent="0.25">
      <c r="S510"/>
      <c r="T510"/>
      <c r="U510"/>
      <c r="V510"/>
      <c r="W510"/>
      <c r="X510"/>
      <c r="Y510"/>
      <c r="Z510"/>
    </row>
    <row r="511" spans="19:26" ht="15" customHeight="1" x14ac:dyDescent="0.25">
      <c r="S511"/>
      <c r="T511"/>
      <c r="U511"/>
      <c r="V511"/>
      <c r="W511"/>
      <c r="X511"/>
      <c r="Y511"/>
      <c r="Z511"/>
    </row>
    <row r="512" spans="19:26" ht="15" customHeight="1" x14ac:dyDescent="0.25">
      <c r="S512"/>
      <c r="T512"/>
      <c r="U512"/>
      <c r="V512"/>
      <c r="W512"/>
      <c r="X512"/>
      <c r="Y512"/>
      <c r="Z512"/>
    </row>
    <row r="513" spans="19:26" ht="15" customHeight="1" x14ac:dyDescent="0.25">
      <c r="S513"/>
      <c r="T513"/>
      <c r="U513"/>
      <c r="V513"/>
      <c r="W513"/>
      <c r="X513"/>
      <c r="Y513"/>
      <c r="Z513"/>
    </row>
    <row r="514" spans="19:26" ht="15" customHeight="1" x14ac:dyDescent="0.25">
      <c r="S514"/>
      <c r="T514"/>
      <c r="U514"/>
      <c r="V514"/>
      <c r="W514"/>
      <c r="X514"/>
      <c r="Y514"/>
      <c r="Z514"/>
    </row>
    <row r="515" spans="19:26" ht="15" customHeight="1" x14ac:dyDescent="0.25">
      <c r="S515"/>
      <c r="T515"/>
      <c r="U515"/>
      <c r="V515"/>
      <c r="W515"/>
      <c r="X515"/>
      <c r="Y515"/>
      <c r="Z515"/>
    </row>
    <row r="516" spans="19:26" ht="15" customHeight="1" x14ac:dyDescent="0.25">
      <c r="S516"/>
      <c r="T516"/>
      <c r="U516"/>
      <c r="V516"/>
      <c r="W516"/>
      <c r="X516"/>
      <c r="Y516"/>
      <c r="Z516"/>
    </row>
    <row r="517" spans="19:26" ht="15" customHeight="1" x14ac:dyDescent="0.25">
      <c r="S517"/>
      <c r="T517"/>
      <c r="U517"/>
      <c r="V517"/>
      <c r="W517"/>
      <c r="X517"/>
      <c r="Y517"/>
      <c r="Z517"/>
    </row>
    <row r="518" spans="19:26" ht="15" customHeight="1" x14ac:dyDescent="0.25">
      <c r="S518"/>
      <c r="T518"/>
      <c r="U518"/>
      <c r="V518"/>
      <c r="W518"/>
      <c r="X518"/>
      <c r="Y518"/>
      <c r="Z518"/>
    </row>
    <row r="519" spans="19:26" ht="15" customHeight="1" x14ac:dyDescent="0.25">
      <c r="S519"/>
      <c r="T519"/>
      <c r="U519"/>
      <c r="V519"/>
      <c r="W519"/>
      <c r="X519"/>
      <c r="Y519"/>
      <c r="Z519"/>
    </row>
    <row r="520" spans="19:26" ht="15" customHeight="1" x14ac:dyDescent="0.25">
      <c r="S520"/>
      <c r="T520"/>
      <c r="U520"/>
      <c r="V520"/>
      <c r="W520"/>
      <c r="X520"/>
      <c r="Y520"/>
      <c r="Z520"/>
    </row>
    <row r="521" spans="19:26" ht="15" customHeight="1" x14ac:dyDescent="0.25">
      <c r="S521"/>
      <c r="T521"/>
      <c r="U521"/>
      <c r="V521"/>
      <c r="W521"/>
      <c r="X521"/>
      <c r="Y521"/>
      <c r="Z521"/>
    </row>
    <row r="522" spans="19:26" ht="15" customHeight="1" x14ac:dyDescent="0.25">
      <c r="S522"/>
      <c r="T522"/>
      <c r="U522"/>
      <c r="V522"/>
      <c r="W522"/>
      <c r="X522"/>
      <c r="Y522"/>
      <c r="Z522"/>
    </row>
    <row r="523" spans="19:26" ht="15" customHeight="1" x14ac:dyDescent="0.25">
      <c r="S523"/>
      <c r="T523"/>
      <c r="U523"/>
      <c r="V523"/>
      <c r="W523"/>
      <c r="X523"/>
      <c r="Y523"/>
      <c r="Z523"/>
    </row>
    <row r="524" spans="19:26" ht="15" customHeight="1" x14ac:dyDescent="0.25">
      <c r="S524"/>
      <c r="T524"/>
      <c r="U524"/>
      <c r="V524"/>
      <c r="W524"/>
      <c r="X524"/>
      <c r="Y524"/>
      <c r="Z524"/>
    </row>
    <row r="525" spans="19:26" ht="15" customHeight="1" x14ac:dyDescent="0.25">
      <c r="S525"/>
      <c r="T525"/>
      <c r="U525"/>
      <c r="V525"/>
      <c r="W525"/>
      <c r="X525"/>
      <c r="Y525"/>
      <c r="Z525"/>
    </row>
    <row r="526" spans="19:26" ht="15" customHeight="1" x14ac:dyDescent="0.25">
      <c r="S526"/>
      <c r="T526"/>
      <c r="U526"/>
      <c r="V526"/>
      <c r="W526"/>
      <c r="X526"/>
      <c r="Y526"/>
      <c r="Z526"/>
    </row>
    <row r="527" spans="19:26" ht="15" customHeight="1" x14ac:dyDescent="0.25">
      <c r="S527"/>
      <c r="T527"/>
      <c r="U527"/>
      <c r="V527"/>
      <c r="W527"/>
      <c r="X527"/>
      <c r="Y527"/>
      <c r="Z527"/>
    </row>
    <row r="528" spans="19:26" ht="15" customHeight="1" x14ac:dyDescent="0.25">
      <c r="S528"/>
      <c r="T528"/>
      <c r="U528"/>
      <c r="V528"/>
      <c r="W528"/>
      <c r="X528"/>
      <c r="Y528"/>
      <c r="Z528"/>
    </row>
    <row r="529" spans="19:26" ht="15" customHeight="1" x14ac:dyDescent="0.25">
      <c r="S529"/>
      <c r="T529"/>
      <c r="U529"/>
      <c r="V529"/>
      <c r="W529"/>
      <c r="X529"/>
      <c r="Y529"/>
      <c r="Z529"/>
    </row>
    <row r="530" spans="19:26" ht="15" customHeight="1" x14ac:dyDescent="0.25">
      <c r="S530"/>
      <c r="T530"/>
      <c r="U530"/>
      <c r="V530"/>
      <c r="W530"/>
      <c r="X530"/>
      <c r="Y530"/>
      <c r="Z530"/>
    </row>
    <row r="531" spans="19:26" ht="15" customHeight="1" x14ac:dyDescent="0.25">
      <c r="S531"/>
      <c r="T531"/>
      <c r="U531"/>
      <c r="V531"/>
      <c r="W531"/>
      <c r="X531"/>
      <c r="Y531"/>
      <c r="Z531"/>
    </row>
    <row r="532" spans="19:26" ht="15" customHeight="1" x14ac:dyDescent="0.25">
      <c r="S532"/>
      <c r="T532"/>
      <c r="U532"/>
      <c r="V532"/>
      <c r="W532"/>
      <c r="X532"/>
      <c r="Y532"/>
      <c r="Z532"/>
    </row>
    <row r="533" spans="19:26" ht="15" customHeight="1" x14ac:dyDescent="0.25">
      <c r="S533"/>
      <c r="T533"/>
      <c r="U533"/>
      <c r="V533"/>
      <c r="W533"/>
      <c r="X533"/>
      <c r="Y533"/>
      <c r="Z533"/>
    </row>
    <row r="534" spans="19:26" ht="15" customHeight="1" x14ac:dyDescent="0.25">
      <c r="S534"/>
      <c r="T534"/>
      <c r="U534"/>
      <c r="V534"/>
      <c r="W534"/>
      <c r="X534"/>
      <c r="Y534"/>
      <c r="Z534"/>
    </row>
    <row r="535" spans="19:26" ht="15" customHeight="1" x14ac:dyDescent="0.25">
      <c r="S535"/>
      <c r="T535"/>
      <c r="U535"/>
      <c r="V535"/>
      <c r="W535"/>
      <c r="X535"/>
      <c r="Y535"/>
      <c r="Z535"/>
    </row>
    <row r="536" spans="19:26" ht="15" customHeight="1" x14ac:dyDescent="0.25">
      <c r="S536"/>
      <c r="T536"/>
      <c r="U536"/>
      <c r="V536"/>
      <c r="W536"/>
      <c r="X536"/>
      <c r="Y536"/>
      <c r="Z536"/>
    </row>
    <row r="537" spans="19:26" ht="15" customHeight="1" x14ac:dyDescent="0.25">
      <c r="S537"/>
      <c r="T537"/>
      <c r="U537"/>
      <c r="V537"/>
      <c r="W537"/>
      <c r="X537"/>
      <c r="Y537"/>
      <c r="Z537"/>
    </row>
    <row r="538" spans="19:26" ht="15" customHeight="1" x14ac:dyDescent="0.25">
      <c r="S538"/>
      <c r="T538"/>
      <c r="U538"/>
      <c r="V538"/>
      <c r="W538"/>
      <c r="X538"/>
      <c r="Y538"/>
      <c r="Z538"/>
    </row>
    <row r="539" spans="19:26" ht="15" customHeight="1" x14ac:dyDescent="0.25">
      <c r="S539"/>
      <c r="T539"/>
      <c r="U539"/>
      <c r="V539"/>
      <c r="W539"/>
      <c r="X539"/>
      <c r="Y539"/>
      <c r="Z539"/>
    </row>
    <row r="540" spans="19:26" ht="15" customHeight="1" x14ac:dyDescent="0.25">
      <c r="S540"/>
      <c r="T540"/>
      <c r="U540"/>
      <c r="V540"/>
      <c r="W540"/>
      <c r="X540"/>
      <c r="Y540"/>
      <c r="Z540"/>
    </row>
    <row r="541" spans="19:26" ht="15" customHeight="1" x14ac:dyDescent="0.25">
      <c r="S541"/>
      <c r="T541"/>
      <c r="U541"/>
      <c r="V541"/>
      <c r="W541"/>
      <c r="X541"/>
      <c r="Y541"/>
      <c r="Z541"/>
    </row>
    <row r="542" spans="19:26" ht="15" customHeight="1" x14ac:dyDescent="0.25">
      <c r="S542"/>
      <c r="T542"/>
      <c r="U542"/>
      <c r="V542"/>
      <c r="W542"/>
      <c r="X542"/>
      <c r="Y542"/>
      <c r="Z542"/>
    </row>
    <row r="543" spans="19:26" ht="15" customHeight="1" x14ac:dyDescent="0.25">
      <c r="S543"/>
      <c r="T543"/>
      <c r="U543"/>
      <c r="V543"/>
      <c r="W543"/>
      <c r="X543"/>
      <c r="Y543"/>
      <c r="Z543"/>
    </row>
    <row r="544" spans="19:26" ht="15" customHeight="1" x14ac:dyDescent="0.25">
      <c r="S544"/>
      <c r="T544"/>
      <c r="U544"/>
      <c r="V544"/>
      <c r="W544"/>
      <c r="X544"/>
      <c r="Y544"/>
      <c r="Z544"/>
    </row>
    <row r="545" spans="19:26" ht="15" customHeight="1" x14ac:dyDescent="0.25">
      <c r="S545"/>
      <c r="T545"/>
      <c r="U545"/>
      <c r="V545"/>
      <c r="W545"/>
      <c r="X545"/>
      <c r="Y545"/>
      <c r="Z545"/>
    </row>
    <row r="546" spans="19:26" ht="15" customHeight="1" x14ac:dyDescent="0.25">
      <c r="S546"/>
      <c r="T546"/>
      <c r="U546"/>
      <c r="V546"/>
      <c r="W546"/>
      <c r="X546"/>
      <c r="Y546"/>
      <c r="Z546"/>
    </row>
    <row r="547" spans="19:26" ht="15" customHeight="1" x14ac:dyDescent="0.25">
      <c r="S547"/>
      <c r="T547"/>
      <c r="U547"/>
      <c r="V547"/>
      <c r="W547"/>
      <c r="X547"/>
      <c r="Y547"/>
      <c r="Z547"/>
    </row>
    <row r="548" spans="19:26" ht="15" customHeight="1" x14ac:dyDescent="0.25">
      <c r="S548"/>
      <c r="T548"/>
      <c r="U548"/>
      <c r="V548"/>
      <c r="W548"/>
      <c r="X548"/>
      <c r="Y548"/>
      <c r="Z548"/>
    </row>
    <row r="549" spans="19:26" ht="15" customHeight="1" x14ac:dyDescent="0.25">
      <c r="S549"/>
      <c r="T549"/>
      <c r="U549"/>
      <c r="V549"/>
      <c r="W549"/>
      <c r="X549"/>
      <c r="Y549"/>
      <c r="Z549"/>
    </row>
    <row r="550" spans="19:26" ht="15" customHeight="1" x14ac:dyDescent="0.25">
      <c r="S550"/>
      <c r="T550"/>
      <c r="U550"/>
      <c r="V550"/>
      <c r="W550"/>
      <c r="X550"/>
      <c r="Y550"/>
      <c r="Z550"/>
    </row>
    <row r="551" spans="19:26" ht="15" customHeight="1" x14ac:dyDescent="0.25">
      <c r="S551"/>
      <c r="T551"/>
      <c r="U551"/>
      <c r="V551"/>
      <c r="W551"/>
      <c r="X551"/>
      <c r="Y551"/>
      <c r="Z551"/>
    </row>
    <row r="552" spans="19:26" ht="15" customHeight="1" x14ac:dyDescent="0.25">
      <c r="S552"/>
      <c r="T552"/>
      <c r="U552"/>
      <c r="V552"/>
      <c r="W552"/>
      <c r="X552"/>
      <c r="Y552"/>
      <c r="Z552"/>
    </row>
    <row r="553" spans="19:26" ht="15" customHeight="1" x14ac:dyDescent="0.25">
      <c r="S553"/>
      <c r="T553"/>
      <c r="U553"/>
      <c r="V553"/>
      <c r="W553"/>
      <c r="X553"/>
      <c r="Y553"/>
      <c r="Z553"/>
    </row>
    <row r="554" spans="19:26" ht="15" customHeight="1" x14ac:dyDescent="0.25">
      <c r="S554"/>
      <c r="T554"/>
      <c r="U554"/>
      <c r="V554"/>
      <c r="W554"/>
      <c r="X554"/>
      <c r="Y554"/>
      <c r="Z554"/>
    </row>
    <row r="555" spans="19:26" ht="15" customHeight="1" x14ac:dyDescent="0.25">
      <c r="S555"/>
      <c r="T555"/>
      <c r="U555"/>
      <c r="V555"/>
      <c r="W555"/>
      <c r="X555"/>
      <c r="Y555"/>
      <c r="Z555"/>
    </row>
    <row r="556" spans="19:26" ht="15" customHeight="1" x14ac:dyDescent="0.25">
      <c r="S556"/>
      <c r="T556"/>
      <c r="U556"/>
      <c r="V556"/>
      <c r="W556"/>
      <c r="X556"/>
      <c r="Y556"/>
      <c r="Z556"/>
    </row>
    <row r="557" spans="19:26" ht="15" customHeight="1" x14ac:dyDescent="0.25">
      <c r="S557"/>
      <c r="T557"/>
      <c r="U557"/>
      <c r="V557"/>
      <c r="W557"/>
      <c r="X557"/>
      <c r="Y557"/>
      <c r="Z557"/>
    </row>
    <row r="558" spans="19:26" ht="15" customHeight="1" x14ac:dyDescent="0.25">
      <c r="S558"/>
      <c r="T558"/>
      <c r="U558"/>
      <c r="V558"/>
      <c r="W558"/>
      <c r="X558"/>
      <c r="Y558"/>
      <c r="Z558"/>
    </row>
    <row r="559" spans="19:26" ht="15" customHeight="1" x14ac:dyDescent="0.25">
      <c r="S559"/>
      <c r="T559"/>
      <c r="U559"/>
      <c r="V559"/>
      <c r="W559"/>
      <c r="X559"/>
      <c r="Y559"/>
      <c r="Z559"/>
    </row>
    <row r="560" spans="19:26" ht="15" customHeight="1" x14ac:dyDescent="0.25">
      <c r="S560"/>
      <c r="T560"/>
      <c r="U560"/>
      <c r="V560"/>
      <c r="W560"/>
      <c r="X560"/>
      <c r="Y560"/>
      <c r="Z560"/>
    </row>
    <row r="561" spans="19:26" ht="15" customHeight="1" x14ac:dyDescent="0.25">
      <c r="S561"/>
      <c r="T561"/>
      <c r="U561"/>
      <c r="V561"/>
      <c r="W561"/>
      <c r="X561"/>
      <c r="Y561"/>
      <c r="Z561"/>
    </row>
    <row r="562" spans="19:26" ht="15" customHeight="1" x14ac:dyDescent="0.25">
      <c r="S562"/>
      <c r="T562"/>
      <c r="U562"/>
      <c r="V562"/>
      <c r="W562"/>
      <c r="X562"/>
      <c r="Y562"/>
      <c r="Z562"/>
    </row>
    <row r="563" spans="19:26" ht="15" customHeight="1" x14ac:dyDescent="0.25">
      <c r="S563"/>
      <c r="T563"/>
      <c r="U563"/>
      <c r="V563"/>
      <c r="W563"/>
      <c r="X563"/>
      <c r="Y563"/>
      <c r="Z563"/>
    </row>
    <row r="564" spans="19:26" ht="15" customHeight="1" x14ac:dyDescent="0.25">
      <c r="S564"/>
      <c r="T564"/>
      <c r="U564"/>
      <c r="V564"/>
      <c r="W564"/>
      <c r="X564"/>
      <c r="Y564"/>
      <c r="Z564"/>
    </row>
    <row r="565" spans="19:26" ht="15" customHeight="1" x14ac:dyDescent="0.25">
      <c r="S565"/>
      <c r="T565"/>
      <c r="U565"/>
      <c r="V565"/>
      <c r="W565"/>
      <c r="X565"/>
      <c r="Y565"/>
      <c r="Z565"/>
    </row>
    <row r="566" spans="19:26" ht="15" customHeight="1" x14ac:dyDescent="0.25">
      <c r="S566"/>
      <c r="T566"/>
      <c r="U566"/>
      <c r="V566"/>
      <c r="W566"/>
      <c r="X566"/>
      <c r="Y566"/>
      <c r="Z566"/>
    </row>
    <row r="567" spans="19:26" ht="15" customHeight="1" x14ac:dyDescent="0.25">
      <c r="S567"/>
      <c r="T567"/>
      <c r="U567"/>
      <c r="V567"/>
      <c r="W567"/>
      <c r="X567"/>
      <c r="Y567"/>
      <c r="Z567"/>
    </row>
    <row r="568" spans="19:26" ht="15" customHeight="1" x14ac:dyDescent="0.25">
      <c r="S568"/>
      <c r="T568"/>
      <c r="U568"/>
      <c r="V568"/>
      <c r="W568"/>
      <c r="X568"/>
      <c r="Y568"/>
      <c r="Z568"/>
    </row>
    <row r="569" spans="19:26" ht="15" customHeight="1" x14ac:dyDescent="0.25">
      <c r="S569"/>
      <c r="T569"/>
      <c r="U569"/>
      <c r="V569"/>
      <c r="W569"/>
      <c r="X569"/>
      <c r="Y569"/>
      <c r="Z569"/>
    </row>
    <row r="570" spans="19:26" ht="15" customHeight="1" x14ac:dyDescent="0.25">
      <c r="S570"/>
      <c r="T570"/>
      <c r="U570"/>
      <c r="V570"/>
      <c r="W570"/>
      <c r="X570"/>
      <c r="Y570"/>
      <c r="Z570"/>
    </row>
    <row r="571" spans="19:26" ht="15" customHeight="1" x14ac:dyDescent="0.25">
      <c r="S571"/>
      <c r="T571"/>
      <c r="U571"/>
      <c r="V571"/>
      <c r="W571"/>
      <c r="X571"/>
      <c r="Y571"/>
      <c r="Z571"/>
    </row>
    <row r="572" spans="19:26" ht="15" customHeight="1" x14ac:dyDescent="0.25">
      <c r="S572"/>
      <c r="T572"/>
      <c r="U572"/>
      <c r="V572"/>
      <c r="W572"/>
      <c r="X572"/>
      <c r="Y572"/>
      <c r="Z572"/>
    </row>
    <row r="573" spans="19:26" ht="15" customHeight="1" x14ac:dyDescent="0.25">
      <c r="S573"/>
      <c r="T573"/>
      <c r="U573"/>
      <c r="V573"/>
      <c r="W573"/>
      <c r="X573"/>
      <c r="Y573"/>
      <c r="Z573"/>
    </row>
    <row r="574" spans="19:26" ht="15" customHeight="1" x14ac:dyDescent="0.25">
      <c r="S574"/>
      <c r="T574"/>
      <c r="U574"/>
      <c r="V574"/>
      <c r="W574"/>
      <c r="X574"/>
      <c r="Y574"/>
      <c r="Z574"/>
    </row>
    <row r="575" spans="19:26" ht="15" customHeight="1" x14ac:dyDescent="0.25">
      <c r="S575"/>
      <c r="T575"/>
      <c r="U575"/>
      <c r="V575"/>
      <c r="W575"/>
      <c r="X575"/>
      <c r="Y575"/>
      <c r="Z575"/>
    </row>
    <row r="576" spans="19:26" ht="15" customHeight="1" x14ac:dyDescent="0.25">
      <c r="S576"/>
      <c r="T576"/>
      <c r="U576"/>
      <c r="V576"/>
      <c r="W576"/>
      <c r="X576"/>
      <c r="Y576"/>
      <c r="Z576"/>
    </row>
    <row r="577" spans="19:26" ht="15" customHeight="1" x14ac:dyDescent="0.25">
      <c r="S577"/>
      <c r="T577"/>
      <c r="U577"/>
      <c r="V577"/>
      <c r="W577"/>
      <c r="X577"/>
      <c r="Y577"/>
      <c r="Z577"/>
    </row>
    <row r="578" spans="19:26" ht="15" customHeight="1" x14ac:dyDescent="0.25">
      <c r="S578"/>
      <c r="T578"/>
      <c r="U578"/>
      <c r="V578"/>
      <c r="W578"/>
      <c r="X578"/>
      <c r="Y578"/>
      <c r="Z578"/>
    </row>
    <row r="579" spans="19:26" ht="15" customHeight="1" x14ac:dyDescent="0.25">
      <c r="S579"/>
      <c r="T579"/>
      <c r="U579"/>
      <c r="V579"/>
      <c r="W579"/>
      <c r="X579"/>
      <c r="Y579"/>
      <c r="Z579"/>
    </row>
    <row r="580" spans="19:26" ht="15" customHeight="1" x14ac:dyDescent="0.25">
      <c r="S580"/>
      <c r="T580"/>
      <c r="U580"/>
      <c r="V580"/>
      <c r="W580"/>
      <c r="X580"/>
      <c r="Y580"/>
      <c r="Z580"/>
    </row>
    <row r="581" spans="19:26" ht="15" customHeight="1" x14ac:dyDescent="0.25">
      <c r="S581"/>
      <c r="T581"/>
      <c r="U581"/>
      <c r="V581"/>
      <c r="W581"/>
      <c r="X581"/>
      <c r="Y581"/>
      <c r="Z581"/>
    </row>
    <row r="582" spans="19:26" ht="15" customHeight="1" x14ac:dyDescent="0.25">
      <c r="S582"/>
      <c r="T582"/>
      <c r="U582"/>
      <c r="V582"/>
      <c r="W582"/>
      <c r="X582"/>
      <c r="Y582"/>
      <c r="Z582"/>
    </row>
    <row r="583" spans="19:26" ht="15" customHeight="1" x14ac:dyDescent="0.25">
      <c r="S583"/>
      <c r="T583"/>
      <c r="U583"/>
      <c r="V583"/>
      <c r="W583"/>
      <c r="X583"/>
      <c r="Y583"/>
      <c r="Z583"/>
    </row>
    <row r="584" spans="19:26" ht="15" customHeight="1" x14ac:dyDescent="0.25">
      <c r="S584"/>
      <c r="T584"/>
      <c r="U584"/>
      <c r="V584"/>
      <c r="W584"/>
      <c r="X584"/>
      <c r="Y584"/>
      <c r="Z584"/>
    </row>
    <row r="585" spans="19:26" ht="15" customHeight="1" x14ac:dyDescent="0.25">
      <c r="S585"/>
      <c r="T585"/>
      <c r="U585"/>
      <c r="V585"/>
      <c r="W585"/>
      <c r="X585"/>
      <c r="Y585"/>
      <c r="Z585"/>
    </row>
    <row r="586" spans="19:26" ht="15" customHeight="1" x14ac:dyDescent="0.25">
      <c r="S586"/>
      <c r="T586"/>
      <c r="U586"/>
      <c r="V586"/>
      <c r="W586"/>
      <c r="X586"/>
      <c r="Y586"/>
      <c r="Z586"/>
    </row>
    <row r="587" spans="19:26" ht="15" customHeight="1" x14ac:dyDescent="0.25">
      <c r="S587"/>
      <c r="T587"/>
      <c r="U587"/>
      <c r="V587"/>
      <c r="W587"/>
      <c r="X587"/>
      <c r="Y587"/>
      <c r="Z587"/>
    </row>
    <row r="588" spans="19:26" ht="15" customHeight="1" x14ac:dyDescent="0.25">
      <c r="S588"/>
      <c r="T588"/>
      <c r="U588"/>
      <c r="V588"/>
      <c r="W588"/>
      <c r="X588"/>
      <c r="Y588"/>
      <c r="Z588"/>
    </row>
    <row r="589" spans="19:26" ht="15" customHeight="1" x14ac:dyDescent="0.25">
      <c r="S589"/>
      <c r="T589"/>
      <c r="U589"/>
      <c r="V589"/>
      <c r="W589"/>
      <c r="X589"/>
      <c r="Y589"/>
      <c r="Z589"/>
    </row>
    <row r="590" spans="19:26" ht="15" customHeight="1" x14ac:dyDescent="0.25">
      <c r="S590"/>
      <c r="T590"/>
      <c r="U590"/>
      <c r="V590"/>
      <c r="W590"/>
      <c r="X590"/>
      <c r="Y590"/>
      <c r="Z590"/>
    </row>
    <row r="591" spans="19:26" ht="15" customHeight="1" x14ac:dyDescent="0.25">
      <c r="S591"/>
      <c r="T591"/>
      <c r="U591"/>
      <c r="V591"/>
      <c r="W591"/>
      <c r="X591"/>
      <c r="Y591"/>
      <c r="Z591"/>
    </row>
    <row r="592" spans="19:26" ht="15" customHeight="1" x14ac:dyDescent="0.25">
      <c r="S592"/>
      <c r="T592"/>
      <c r="U592"/>
      <c r="V592"/>
      <c r="W592"/>
      <c r="X592"/>
      <c r="Y592"/>
      <c r="Z592"/>
    </row>
    <row r="593" spans="19:26" ht="15" customHeight="1" x14ac:dyDescent="0.25">
      <c r="S593"/>
      <c r="T593"/>
      <c r="U593"/>
      <c r="V593"/>
      <c r="W593"/>
      <c r="X593"/>
      <c r="Y593"/>
      <c r="Z593"/>
    </row>
    <row r="594" spans="19:26" ht="15" customHeight="1" x14ac:dyDescent="0.25">
      <c r="S594"/>
      <c r="T594"/>
      <c r="U594"/>
      <c r="V594"/>
      <c r="W594"/>
      <c r="X594"/>
      <c r="Y594"/>
      <c r="Z594"/>
    </row>
    <row r="595" spans="19:26" ht="15" customHeight="1" x14ac:dyDescent="0.25">
      <c r="S595"/>
      <c r="T595"/>
      <c r="U595"/>
      <c r="V595"/>
      <c r="W595"/>
      <c r="X595"/>
      <c r="Y595"/>
      <c r="Z595"/>
    </row>
    <row r="596" spans="19:26" ht="15" customHeight="1" x14ac:dyDescent="0.25">
      <c r="S596"/>
      <c r="T596"/>
      <c r="U596"/>
      <c r="V596"/>
      <c r="W596"/>
      <c r="X596"/>
      <c r="Y596"/>
      <c r="Z596"/>
    </row>
    <row r="597" spans="19:26" ht="15" customHeight="1" x14ac:dyDescent="0.25">
      <c r="S597"/>
      <c r="T597"/>
      <c r="U597"/>
      <c r="V597"/>
      <c r="W597"/>
      <c r="X597"/>
      <c r="Y597"/>
      <c r="Z597"/>
    </row>
    <row r="598" spans="19:26" ht="15" customHeight="1" x14ac:dyDescent="0.25">
      <c r="S598"/>
      <c r="T598"/>
      <c r="U598"/>
      <c r="V598"/>
      <c r="W598"/>
      <c r="X598"/>
      <c r="Y598"/>
      <c r="Z598"/>
    </row>
    <row r="599" spans="19:26" ht="15" customHeight="1" x14ac:dyDescent="0.25">
      <c r="S599"/>
      <c r="T599"/>
      <c r="U599"/>
      <c r="V599"/>
      <c r="W599"/>
      <c r="X599"/>
      <c r="Y599"/>
      <c r="Z599"/>
    </row>
    <row r="600" spans="19:26" ht="15" customHeight="1" x14ac:dyDescent="0.25">
      <c r="S600"/>
      <c r="T600"/>
      <c r="U600"/>
      <c r="V600"/>
      <c r="W600"/>
      <c r="X600"/>
      <c r="Y600"/>
      <c r="Z600"/>
    </row>
    <row r="601" spans="19:26" ht="15" customHeight="1" x14ac:dyDescent="0.25">
      <c r="S601"/>
      <c r="T601"/>
      <c r="U601"/>
      <c r="V601"/>
      <c r="W601"/>
      <c r="X601"/>
      <c r="Y601"/>
      <c r="Z601"/>
    </row>
    <row r="602" spans="19:26" ht="15" customHeight="1" x14ac:dyDescent="0.25">
      <c r="S602"/>
      <c r="T602"/>
      <c r="U602"/>
      <c r="V602"/>
      <c r="W602"/>
      <c r="X602"/>
      <c r="Y602"/>
      <c r="Z602"/>
    </row>
    <row r="603" spans="19:26" ht="15" customHeight="1" x14ac:dyDescent="0.25">
      <c r="S603"/>
      <c r="T603"/>
      <c r="U603"/>
      <c r="V603"/>
      <c r="W603"/>
      <c r="X603"/>
      <c r="Y603"/>
      <c r="Z603"/>
    </row>
    <row r="604" spans="19:26" ht="15" customHeight="1" x14ac:dyDescent="0.25">
      <c r="S604"/>
      <c r="T604"/>
      <c r="U604"/>
      <c r="V604"/>
      <c r="W604"/>
      <c r="X604"/>
      <c r="Y604"/>
      <c r="Z604"/>
    </row>
    <row r="605" spans="19:26" ht="15" customHeight="1" x14ac:dyDescent="0.25">
      <c r="S605"/>
      <c r="T605"/>
      <c r="U605"/>
      <c r="V605"/>
      <c r="W605"/>
      <c r="X605"/>
      <c r="Y605"/>
      <c r="Z605"/>
    </row>
    <row r="606" spans="19:26" ht="15" customHeight="1" x14ac:dyDescent="0.25">
      <c r="S606"/>
      <c r="T606"/>
      <c r="U606"/>
      <c r="V606"/>
      <c r="W606"/>
      <c r="X606"/>
      <c r="Y606"/>
      <c r="Z606"/>
    </row>
    <row r="607" spans="19:26" ht="15" customHeight="1" x14ac:dyDescent="0.25">
      <c r="S607"/>
      <c r="T607"/>
      <c r="U607"/>
      <c r="V607"/>
      <c r="W607"/>
      <c r="X607"/>
      <c r="Y607"/>
      <c r="Z607"/>
    </row>
    <row r="608" spans="19:26" ht="15" customHeight="1" x14ac:dyDescent="0.25">
      <c r="S608"/>
      <c r="T608"/>
      <c r="U608"/>
      <c r="V608"/>
      <c r="W608"/>
      <c r="X608"/>
      <c r="Y608"/>
      <c r="Z608"/>
    </row>
    <row r="609" spans="19:26" ht="15" customHeight="1" x14ac:dyDescent="0.25">
      <c r="S609"/>
      <c r="T609"/>
      <c r="U609"/>
      <c r="V609"/>
      <c r="W609"/>
      <c r="X609"/>
      <c r="Y609"/>
      <c r="Z609"/>
    </row>
    <row r="610" spans="19:26" ht="15" customHeight="1" x14ac:dyDescent="0.25">
      <c r="S610"/>
      <c r="T610"/>
      <c r="U610"/>
      <c r="V610"/>
      <c r="W610"/>
      <c r="X610"/>
      <c r="Y610"/>
      <c r="Z610"/>
    </row>
    <row r="611" spans="19:26" ht="15" customHeight="1" x14ac:dyDescent="0.25">
      <c r="S611"/>
      <c r="T611"/>
      <c r="U611"/>
      <c r="V611"/>
      <c r="W611"/>
      <c r="X611"/>
      <c r="Y611"/>
      <c r="Z611"/>
    </row>
    <row r="612" spans="19:26" ht="15" customHeight="1" x14ac:dyDescent="0.25">
      <c r="S612"/>
      <c r="T612"/>
      <c r="U612"/>
      <c r="V612"/>
      <c r="W612"/>
      <c r="X612"/>
      <c r="Y612"/>
      <c r="Z612"/>
    </row>
    <row r="613" spans="19:26" ht="15" customHeight="1" x14ac:dyDescent="0.25">
      <c r="S613"/>
      <c r="T613"/>
      <c r="U613"/>
      <c r="V613"/>
      <c r="W613"/>
      <c r="X613"/>
      <c r="Y613"/>
      <c r="Z613"/>
    </row>
    <row r="614" spans="19:26" ht="15" customHeight="1" x14ac:dyDescent="0.25">
      <c r="S614"/>
      <c r="T614"/>
      <c r="U614"/>
      <c r="V614"/>
      <c r="W614"/>
      <c r="X614"/>
      <c r="Y614"/>
      <c r="Z614"/>
    </row>
    <row r="615" spans="19:26" ht="15" customHeight="1" x14ac:dyDescent="0.25">
      <c r="S615"/>
      <c r="T615"/>
      <c r="U615"/>
      <c r="V615"/>
      <c r="W615"/>
      <c r="X615"/>
      <c r="Y615"/>
      <c r="Z615"/>
    </row>
    <row r="616" spans="19:26" ht="15" customHeight="1" x14ac:dyDescent="0.25">
      <c r="S616"/>
      <c r="T616"/>
      <c r="U616"/>
      <c r="V616"/>
      <c r="W616"/>
      <c r="X616"/>
      <c r="Y616"/>
      <c r="Z616"/>
    </row>
    <row r="617" spans="19:26" ht="15" customHeight="1" x14ac:dyDescent="0.25">
      <c r="S617"/>
      <c r="T617"/>
      <c r="U617"/>
      <c r="V617"/>
      <c r="W617"/>
      <c r="X617"/>
      <c r="Y617"/>
      <c r="Z617"/>
    </row>
    <row r="618" spans="19:26" ht="15" customHeight="1" x14ac:dyDescent="0.25">
      <c r="S618"/>
      <c r="T618"/>
      <c r="U618"/>
      <c r="V618"/>
      <c r="W618"/>
      <c r="X618"/>
      <c r="Y618"/>
      <c r="Z618"/>
    </row>
    <row r="619" spans="19:26" ht="15" customHeight="1" x14ac:dyDescent="0.25">
      <c r="S619"/>
      <c r="T619"/>
      <c r="U619"/>
      <c r="V619"/>
      <c r="W619"/>
      <c r="X619"/>
      <c r="Y619"/>
      <c r="Z619"/>
    </row>
    <row r="620" spans="19:26" ht="15" customHeight="1" x14ac:dyDescent="0.25">
      <c r="S620"/>
      <c r="T620"/>
      <c r="U620"/>
      <c r="V620"/>
      <c r="W620"/>
      <c r="X620"/>
      <c r="Y620"/>
      <c r="Z620"/>
    </row>
    <row r="621" spans="19:26" ht="15" customHeight="1" x14ac:dyDescent="0.25">
      <c r="S621"/>
      <c r="T621"/>
      <c r="U621"/>
      <c r="V621"/>
      <c r="W621"/>
      <c r="X621"/>
      <c r="Y621"/>
      <c r="Z621"/>
    </row>
    <row r="622" spans="19:26" ht="15" customHeight="1" x14ac:dyDescent="0.25">
      <c r="S622"/>
      <c r="T622"/>
      <c r="U622"/>
      <c r="V622"/>
      <c r="W622"/>
      <c r="X622"/>
      <c r="Y622"/>
      <c r="Z622"/>
    </row>
    <row r="623" spans="19:26" ht="15" customHeight="1" x14ac:dyDescent="0.25">
      <c r="S623"/>
      <c r="T623"/>
      <c r="U623"/>
      <c r="V623"/>
      <c r="W623"/>
      <c r="X623"/>
      <c r="Y623"/>
      <c r="Z623"/>
    </row>
    <row r="624" spans="19:26" ht="15" customHeight="1" x14ac:dyDescent="0.25">
      <c r="S624"/>
      <c r="T624"/>
      <c r="U624"/>
      <c r="V624"/>
      <c r="W624"/>
      <c r="X624"/>
      <c r="Y624"/>
      <c r="Z624"/>
    </row>
    <row r="625" spans="19:26" ht="15" customHeight="1" x14ac:dyDescent="0.25">
      <c r="S625"/>
      <c r="T625"/>
      <c r="U625"/>
      <c r="V625"/>
      <c r="W625"/>
      <c r="X625"/>
      <c r="Y625"/>
      <c r="Z625"/>
    </row>
    <row r="626" spans="19:26" ht="15" customHeight="1" x14ac:dyDescent="0.25">
      <c r="S626"/>
      <c r="T626"/>
      <c r="U626"/>
      <c r="V626"/>
      <c r="W626"/>
      <c r="X626"/>
      <c r="Y626"/>
      <c r="Z626"/>
    </row>
    <row r="627" spans="19:26" ht="15" customHeight="1" x14ac:dyDescent="0.25">
      <c r="S627"/>
      <c r="T627"/>
      <c r="U627"/>
      <c r="V627"/>
      <c r="W627"/>
      <c r="X627"/>
      <c r="Y627"/>
      <c r="Z627"/>
    </row>
    <row r="628" spans="19:26" ht="15" customHeight="1" x14ac:dyDescent="0.25">
      <c r="S628"/>
      <c r="T628"/>
      <c r="U628"/>
      <c r="V628"/>
      <c r="W628"/>
      <c r="X628"/>
      <c r="Y628"/>
      <c r="Z628"/>
    </row>
    <row r="629" spans="19:26" ht="15" customHeight="1" x14ac:dyDescent="0.25">
      <c r="S629"/>
      <c r="T629"/>
      <c r="U629"/>
      <c r="V629"/>
      <c r="W629"/>
      <c r="X629"/>
      <c r="Y629"/>
      <c r="Z629"/>
    </row>
    <row r="630" spans="19:26" ht="15" customHeight="1" x14ac:dyDescent="0.25">
      <c r="S630"/>
      <c r="T630"/>
      <c r="U630"/>
      <c r="V630"/>
      <c r="W630"/>
      <c r="X630"/>
      <c r="Y630"/>
      <c r="Z630"/>
    </row>
    <row r="631" spans="19:26" ht="15" customHeight="1" x14ac:dyDescent="0.25">
      <c r="S631"/>
      <c r="T631"/>
      <c r="U631"/>
      <c r="V631"/>
      <c r="W631"/>
      <c r="X631"/>
      <c r="Y631"/>
      <c r="Z631"/>
    </row>
    <row r="632" spans="19:26" ht="15" customHeight="1" x14ac:dyDescent="0.25">
      <c r="S632"/>
      <c r="T632"/>
      <c r="U632"/>
      <c r="V632"/>
      <c r="W632"/>
      <c r="X632"/>
      <c r="Y632"/>
      <c r="Z632"/>
    </row>
    <row r="633" spans="19:26" ht="15" customHeight="1" x14ac:dyDescent="0.25">
      <c r="S633"/>
      <c r="T633"/>
      <c r="U633"/>
      <c r="V633"/>
      <c r="W633"/>
      <c r="X633"/>
      <c r="Y633"/>
      <c r="Z633"/>
    </row>
    <row r="634" spans="19:26" ht="15" customHeight="1" x14ac:dyDescent="0.25">
      <c r="S634"/>
      <c r="T634"/>
      <c r="U634"/>
      <c r="V634"/>
      <c r="W634"/>
      <c r="X634"/>
      <c r="Y634"/>
      <c r="Z634"/>
    </row>
    <row r="635" spans="19:26" ht="15" customHeight="1" x14ac:dyDescent="0.25">
      <c r="S635"/>
      <c r="T635"/>
      <c r="U635"/>
      <c r="V635"/>
      <c r="W635"/>
      <c r="X635"/>
      <c r="Y635"/>
      <c r="Z635"/>
    </row>
    <row r="636" spans="19:26" ht="15" customHeight="1" x14ac:dyDescent="0.25">
      <c r="S636"/>
      <c r="T636"/>
      <c r="U636"/>
      <c r="V636"/>
      <c r="W636"/>
      <c r="X636"/>
      <c r="Y636"/>
      <c r="Z636"/>
    </row>
    <row r="637" spans="19:26" ht="15" customHeight="1" x14ac:dyDescent="0.25">
      <c r="S637"/>
      <c r="T637"/>
      <c r="U637"/>
      <c r="V637"/>
      <c r="W637"/>
      <c r="X637"/>
      <c r="Y637"/>
      <c r="Z637"/>
    </row>
    <row r="638" spans="19:26" ht="15" customHeight="1" x14ac:dyDescent="0.25">
      <c r="S638"/>
      <c r="T638"/>
      <c r="U638"/>
      <c r="V638"/>
      <c r="W638"/>
      <c r="X638"/>
      <c r="Y638"/>
      <c r="Z638"/>
    </row>
    <row r="639" spans="19:26" ht="15" customHeight="1" x14ac:dyDescent="0.25">
      <c r="S639"/>
      <c r="T639"/>
      <c r="U639"/>
      <c r="V639"/>
      <c r="W639"/>
      <c r="X639"/>
      <c r="Y639"/>
      <c r="Z639"/>
    </row>
    <row r="640" spans="19:26" ht="15" customHeight="1" x14ac:dyDescent="0.25">
      <c r="S640"/>
      <c r="T640"/>
      <c r="U640"/>
      <c r="V640"/>
      <c r="W640"/>
      <c r="X640"/>
      <c r="Y640"/>
      <c r="Z640"/>
    </row>
    <row r="641" spans="19:26" ht="15" customHeight="1" x14ac:dyDescent="0.25">
      <c r="S641"/>
      <c r="T641"/>
      <c r="U641"/>
      <c r="V641"/>
      <c r="W641"/>
      <c r="X641"/>
      <c r="Y641"/>
      <c r="Z641"/>
    </row>
    <row r="642" spans="19:26" ht="15" customHeight="1" x14ac:dyDescent="0.25">
      <c r="S642"/>
      <c r="T642"/>
      <c r="U642"/>
      <c r="V642"/>
      <c r="W642"/>
      <c r="X642"/>
      <c r="Y642"/>
      <c r="Z642"/>
    </row>
    <row r="643" spans="19:26" ht="15" customHeight="1" x14ac:dyDescent="0.25">
      <c r="S643"/>
      <c r="T643"/>
      <c r="U643"/>
      <c r="V643"/>
      <c r="W643"/>
      <c r="X643"/>
      <c r="Y643"/>
      <c r="Z643"/>
    </row>
    <row r="644" spans="19:26" ht="15" customHeight="1" x14ac:dyDescent="0.25">
      <c r="S644"/>
      <c r="T644"/>
      <c r="U644"/>
      <c r="V644"/>
      <c r="W644"/>
      <c r="X644"/>
      <c r="Y644"/>
      <c r="Z644"/>
    </row>
    <row r="645" spans="19:26" ht="15" customHeight="1" x14ac:dyDescent="0.25">
      <c r="S645"/>
      <c r="T645"/>
      <c r="U645"/>
      <c r="V645"/>
      <c r="W645"/>
      <c r="X645"/>
      <c r="Y645"/>
      <c r="Z645"/>
    </row>
    <row r="646" spans="19:26" ht="15" customHeight="1" x14ac:dyDescent="0.25">
      <c r="S646"/>
      <c r="T646"/>
      <c r="U646"/>
      <c r="V646"/>
      <c r="W646"/>
      <c r="X646"/>
      <c r="Y646"/>
      <c r="Z646"/>
    </row>
    <row r="647" spans="19:26" ht="15" customHeight="1" x14ac:dyDescent="0.25">
      <c r="S647"/>
      <c r="T647"/>
      <c r="U647"/>
      <c r="V647"/>
      <c r="W647"/>
      <c r="X647"/>
      <c r="Y647"/>
      <c r="Z647"/>
    </row>
    <row r="648" spans="19:26" ht="15" customHeight="1" x14ac:dyDescent="0.25">
      <c r="S648"/>
      <c r="T648"/>
      <c r="U648"/>
      <c r="V648"/>
      <c r="W648"/>
      <c r="X648"/>
      <c r="Y648"/>
      <c r="Z648"/>
    </row>
    <row r="649" spans="19:26" ht="15" customHeight="1" x14ac:dyDescent="0.25">
      <c r="S649"/>
      <c r="T649"/>
      <c r="U649"/>
      <c r="V649"/>
      <c r="W649"/>
      <c r="X649"/>
      <c r="Y649"/>
      <c r="Z649"/>
    </row>
    <row r="650" spans="19:26" ht="15" customHeight="1" x14ac:dyDescent="0.25">
      <c r="S650"/>
      <c r="T650"/>
      <c r="U650"/>
      <c r="V650"/>
      <c r="W650"/>
      <c r="X650"/>
      <c r="Y650"/>
      <c r="Z650"/>
    </row>
    <row r="651" spans="19:26" ht="15" customHeight="1" x14ac:dyDescent="0.25">
      <c r="S651"/>
      <c r="T651"/>
      <c r="U651"/>
      <c r="V651"/>
      <c r="W651"/>
      <c r="X651"/>
      <c r="Y651"/>
      <c r="Z651"/>
    </row>
    <row r="652" spans="19:26" ht="15" customHeight="1" x14ac:dyDescent="0.25">
      <c r="S652"/>
      <c r="T652"/>
      <c r="U652"/>
      <c r="V652"/>
      <c r="W652"/>
      <c r="X652"/>
      <c r="Y652"/>
      <c r="Z652"/>
    </row>
    <row r="653" spans="19:26" ht="15" customHeight="1" x14ac:dyDescent="0.25">
      <c r="S653"/>
      <c r="T653"/>
      <c r="U653"/>
      <c r="V653"/>
      <c r="W653"/>
      <c r="X653"/>
      <c r="Y653"/>
      <c r="Z653"/>
    </row>
    <row r="654" spans="19:26" ht="15" customHeight="1" x14ac:dyDescent="0.25">
      <c r="S654"/>
      <c r="T654"/>
      <c r="U654"/>
      <c r="V654"/>
      <c r="W654"/>
      <c r="X654"/>
      <c r="Y654"/>
      <c r="Z654"/>
    </row>
    <row r="655" spans="19:26" ht="15" customHeight="1" x14ac:dyDescent="0.25">
      <c r="S655"/>
      <c r="T655"/>
      <c r="U655"/>
      <c r="V655"/>
      <c r="W655"/>
      <c r="X655"/>
      <c r="Y655"/>
      <c r="Z655"/>
    </row>
    <row r="656" spans="19:26" ht="15" customHeight="1" x14ac:dyDescent="0.25">
      <c r="S656"/>
      <c r="T656"/>
      <c r="U656"/>
      <c r="V656"/>
      <c r="W656"/>
      <c r="X656"/>
      <c r="Y656"/>
      <c r="Z656"/>
    </row>
    <row r="657" spans="19:26" ht="15" customHeight="1" x14ac:dyDescent="0.25">
      <c r="S657"/>
      <c r="T657"/>
      <c r="U657"/>
      <c r="V657"/>
      <c r="W657"/>
      <c r="X657"/>
      <c r="Y657"/>
      <c r="Z657"/>
    </row>
    <row r="658" spans="19:26" ht="15" customHeight="1" x14ac:dyDescent="0.25">
      <c r="S658"/>
      <c r="T658"/>
      <c r="U658"/>
      <c r="V658"/>
      <c r="W658"/>
      <c r="X658"/>
      <c r="Y658"/>
      <c r="Z658"/>
    </row>
    <row r="659" spans="19:26" ht="15" customHeight="1" x14ac:dyDescent="0.25">
      <c r="S659"/>
      <c r="T659"/>
      <c r="U659"/>
      <c r="V659"/>
      <c r="W659"/>
      <c r="X659"/>
      <c r="Y659"/>
      <c r="Z659"/>
    </row>
    <row r="660" spans="19:26" ht="15" customHeight="1" x14ac:dyDescent="0.25">
      <c r="S660"/>
      <c r="T660"/>
      <c r="U660"/>
      <c r="V660"/>
      <c r="W660"/>
      <c r="X660"/>
      <c r="Y660"/>
      <c r="Z660"/>
    </row>
    <row r="661" spans="19:26" ht="15" customHeight="1" x14ac:dyDescent="0.25">
      <c r="S661"/>
      <c r="T661"/>
      <c r="U661"/>
      <c r="V661"/>
      <c r="W661"/>
      <c r="X661"/>
      <c r="Y661"/>
      <c r="Z661"/>
    </row>
    <row r="662" spans="19:26" ht="15" customHeight="1" x14ac:dyDescent="0.25">
      <c r="S662"/>
      <c r="T662"/>
      <c r="U662"/>
      <c r="V662"/>
      <c r="W662"/>
      <c r="X662"/>
      <c r="Y662"/>
      <c r="Z662"/>
    </row>
    <row r="663" spans="19:26" ht="15" customHeight="1" x14ac:dyDescent="0.25">
      <c r="S663"/>
      <c r="T663"/>
      <c r="U663"/>
      <c r="V663"/>
      <c r="W663"/>
      <c r="X663"/>
      <c r="Y663"/>
      <c r="Z663"/>
    </row>
    <row r="664" spans="19:26" ht="15" customHeight="1" x14ac:dyDescent="0.25">
      <c r="S664"/>
      <c r="T664"/>
      <c r="U664"/>
      <c r="V664"/>
      <c r="W664"/>
      <c r="X664"/>
      <c r="Y664"/>
      <c r="Z664"/>
    </row>
    <row r="665" spans="19:26" ht="15" customHeight="1" x14ac:dyDescent="0.25">
      <c r="S665"/>
      <c r="T665"/>
      <c r="U665"/>
      <c r="V665"/>
      <c r="W665"/>
      <c r="X665"/>
      <c r="Y665"/>
      <c r="Z665"/>
    </row>
    <row r="666" spans="19:26" ht="15" customHeight="1" x14ac:dyDescent="0.25">
      <c r="S666"/>
      <c r="T666"/>
      <c r="U666"/>
      <c r="V666"/>
      <c r="W666"/>
      <c r="X666"/>
      <c r="Y666"/>
      <c r="Z666"/>
    </row>
    <row r="667" spans="19:26" ht="15" customHeight="1" x14ac:dyDescent="0.25">
      <c r="S667"/>
      <c r="T667"/>
      <c r="U667"/>
      <c r="V667"/>
      <c r="W667"/>
      <c r="X667"/>
      <c r="Y667"/>
      <c r="Z667"/>
    </row>
    <row r="668" spans="19:26" ht="15" customHeight="1" x14ac:dyDescent="0.25">
      <c r="S668"/>
      <c r="T668"/>
      <c r="U668"/>
      <c r="V668"/>
      <c r="W668"/>
      <c r="X668"/>
      <c r="Y668"/>
      <c r="Z668"/>
    </row>
    <row r="669" spans="19:26" ht="15" customHeight="1" x14ac:dyDescent="0.25">
      <c r="S669"/>
      <c r="T669"/>
      <c r="U669"/>
      <c r="V669"/>
      <c r="W669"/>
      <c r="X669"/>
      <c r="Y669"/>
      <c r="Z669"/>
    </row>
    <row r="670" spans="19:26" ht="15" customHeight="1" x14ac:dyDescent="0.25">
      <c r="S670"/>
      <c r="T670"/>
      <c r="U670"/>
      <c r="V670"/>
      <c r="W670"/>
      <c r="X670"/>
      <c r="Y670"/>
      <c r="Z670"/>
    </row>
    <row r="671" spans="19:26" ht="15" customHeight="1" x14ac:dyDescent="0.25">
      <c r="S671"/>
      <c r="T671"/>
      <c r="U671"/>
      <c r="V671"/>
      <c r="W671"/>
      <c r="X671"/>
      <c r="Y671"/>
      <c r="Z671"/>
    </row>
    <row r="672" spans="19:26" ht="15" customHeight="1" x14ac:dyDescent="0.25">
      <c r="S672"/>
      <c r="T672"/>
      <c r="U672"/>
      <c r="V672"/>
      <c r="W672"/>
      <c r="X672"/>
      <c r="Y672"/>
      <c r="Z672"/>
    </row>
    <row r="673" spans="19:26" ht="15" customHeight="1" x14ac:dyDescent="0.25">
      <c r="S673"/>
      <c r="T673"/>
      <c r="U673"/>
      <c r="V673"/>
      <c r="W673"/>
      <c r="X673"/>
      <c r="Y673"/>
      <c r="Z673"/>
    </row>
    <row r="674" spans="19:26" ht="15" customHeight="1" x14ac:dyDescent="0.25">
      <c r="S674"/>
      <c r="T674"/>
      <c r="U674"/>
      <c r="V674"/>
      <c r="W674"/>
      <c r="X674"/>
      <c r="Y674"/>
      <c r="Z674"/>
    </row>
    <row r="675" spans="19:26" ht="15" customHeight="1" x14ac:dyDescent="0.25">
      <c r="S675"/>
      <c r="T675"/>
      <c r="U675"/>
      <c r="V675"/>
      <c r="W675"/>
      <c r="X675"/>
      <c r="Y675"/>
      <c r="Z675"/>
    </row>
    <row r="676" spans="19:26" ht="15" customHeight="1" x14ac:dyDescent="0.25">
      <c r="S676"/>
      <c r="T676"/>
      <c r="U676"/>
      <c r="V676"/>
      <c r="W676"/>
      <c r="X676"/>
      <c r="Y676"/>
      <c r="Z676"/>
    </row>
    <row r="677" spans="19:26" ht="15" customHeight="1" x14ac:dyDescent="0.25">
      <c r="S677"/>
      <c r="T677"/>
      <c r="U677"/>
      <c r="V677"/>
      <c r="W677"/>
      <c r="X677"/>
      <c r="Y677"/>
      <c r="Z677"/>
    </row>
    <row r="678" spans="19:26" ht="15" customHeight="1" x14ac:dyDescent="0.25">
      <c r="S678"/>
      <c r="T678"/>
      <c r="U678"/>
      <c r="V678"/>
      <c r="W678"/>
      <c r="X678"/>
      <c r="Y678"/>
      <c r="Z678"/>
    </row>
    <row r="679" spans="19:26" ht="15" customHeight="1" x14ac:dyDescent="0.25">
      <c r="S679"/>
      <c r="T679"/>
      <c r="U679"/>
      <c r="V679"/>
      <c r="W679"/>
      <c r="X679"/>
      <c r="Y679"/>
      <c r="Z679"/>
    </row>
    <row r="680" spans="19:26" ht="15" customHeight="1" x14ac:dyDescent="0.25">
      <c r="S680"/>
      <c r="T680"/>
      <c r="U680"/>
      <c r="V680"/>
      <c r="W680"/>
      <c r="X680"/>
      <c r="Y680"/>
      <c r="Z680"/>
    </row>
    <row r="681" spans="19:26" ht="15" customHeight="1" x14ac:dyDescent="0.25">
      <c r="S681"/>
      <c r="T681"/>
      <c r="U681"/>
      <c r="V681"/>
      <c r="W681"/>
      <c r="X681"/>
      <c r="Y681"/>
      <c r="Z681"/>
    </row>
    <row r="682" spans="19:26" ht="15" customHeight="1" x14ac:dyDescent="0.25">
      <c r="S682"/>
      <c r="T682"/>
      <c r="U682"/>
      <c r="V682"/>
      <c r="W682"/>
      <c r="X682"/>
      <c r="Y682"/>
      <c r="Z682"/>
    </row>
    <row r="683" spans="19:26" ht="15" customHeight="1" x14ac:dyDescent="0.25">
      <c r="S683"/>
      <c r="T683"/>
      <c r="U683"/>
      <c r="V683"/>
      <c r="W683"/>
      <c r="X683"/>
      <c r="Y683"/>
      <c r="Z683"/>
    </row>
    <row r="684" spans="19:26" ht="15" customHeight="1" x14ac:dyDescent="0.25">
      <c r="S684"/>
      <c r="T684"/>
      <c r="U684"/>
      <c r="V684"/>
      <c r="W684"/>
      <c r="X684"/>
      <c r="Y684"/>
      <c r="Z684"/>
    </row>
    <row r="685" spans="19:26" ht="15" customHeight="1" x14ac:dyDescent="0.25">
      <c r="S685"/>
      <c r="T685"/>
      <c r="U685"/>
      <c r="V685"/>
      <c r="W685"/>
      <c r="X685"/>
      <c r="Y685"/>
      <c r="Z685"/>
    </row>
    <row r="686" spans="19:26" ht="15" customHeight="1" x14ac:dyDescent="0.25">
      <c r="S686"/>
      <c r="T686"/>
      <c r="U686"/>
      <c r="V686"/>
      <c r="W686"/>
      <c r="X686"/>
      <c r="Y686"/>
      <c r="Z686"/>
    </row>
    <row r="687" spans="19:26" ht="15" customHeight="1" x14ac:dyDescent="0.25">
      <c r="S687"/>
      <c r="T687"/>
      <c r="U687"/>
      <c r="V687"/>
      <c r="W687"/>
      <c r="X687"/>
      <c r="Y687"/>
      <c r="Z687"/>
    </row>
    <row r="688" spans="19:26" ht="15" customHeight="1" x14ac:dyDescent="0.25">
      <c r="S688"/>
      <c r="T688"/>
      <c r="U688"/>
      <c r="V688"/>
      <c r="W688"/>
      <c r="X688"/>
      <c r="Y688"/>
      <c r="Z688"/>
    </row>
    <row r="689" spans="19:26" ht="15" customHeight="1" x14ac:dyDescent="0.25">
      <c r="S689"/>
      <c r="T689"/>
      <c r="U689"/>
      <c r="V689"/>
      <c r="W689"/>
      <c r="X689"/>
      <c r="Y689"/>
      <c r="Z689"/>
    </row>
    <row r="690" spans="19:26" ht="15" customHeight="1" x14ac:dyDescent="0.25">
      <c r="S690"/>
      <c r="T690"/>
      <c r="U690"/>
      <c r="V690"/>
      <c r="W690"/>
      <c r="X690"/>
      <c r="Y690"/>
      <c r="Z690"/>
    </row>
    <row r="691" spans="19:26" ht="15" customHeight="1" x14ac:dyDescent="0.25">
      <c r="S691"/>
      <c r="T691"/>
      <c r="U691"/>
      <c r="V691"/>
      <c r="W691"/>
      <c r="X691"/>
      <c r="Y691"/>
      <c r="Z691"/>
    </row>
    <row r="692" spans="19:26" ht="15" customHeight="1" x14ac:dyDescent="0.25">
      <c r="S692"/>
      <c r="T692"/>
      <c r="U692"/>
      <c r="V692"/>
      <c r="W692"/>
      <c r="X692"/>
      <c r="Y692"/>
      <c r="Z692"/>
    </row>
    <row r="693" spans="19:26" ht="15" customHeight="1" x14ac:dyDescent="0.25">
      <c r="S693"/>
      <c r="T693"/>
      <c r="U693"/>
      <c r="V693"/>
      <c r="W693"/>
      <c r="X693"/>
      <c r="Y693"/>
      <c r="Z693"/>
    </row>
    <row r="694" spans="19:26" ht="15" customHeight="1" x14ac:dyDescent="0.25">
      <c r="S694"/>
      <c r="T694"/>
      <c r="U694"/>
      <c r="V694"/>
      <c r="W694"/>
      <c r="X694"/>
      <c r="Y694"/>
      <c r="Z694"/>
    </row>
    <row r="695" spans="19:26" ht="15" customHeight="1" x14ac:dyDescent="0.25">
      <c r="S695"/>
      <c r="T695"/>
      <c r="U695"/>
      <c r="V695"/>
      <c r="W695"/>
      <c r="X695"/>
      <c r="Y695"/>
      <c r="Z695"/>
    </row>
    <row r="696" spans="19:26" ht="15" customHeight="1" x14ac:dyDescent="0.25">
      <c r="S696"/>
      <c r="T696"/>
      <c r="U696"/>
      <c r="V696"/>
      <c r="W696"/>
      <c r="X696"/>
      <c r="Y696"/>
      <c r="Z696"/>
    </row>
    <row r="697" spans="19:26" ht="15" customHeight="1" x14ac:dyDescent="0.25">
      <c r="S697"/>
      <c r="T697"/>
      <c r="U697"/>
      <c r="V697"/>
      <c r="W697"/>
      <c r="X697"/>
      <c r="Y697"/>
      <c r="Z697"/>
    </row>
    <row r="698" spans="19:26" ht="15" customHeight="1" x14ac:dyDescent="0.25">
      <c r="S698"/>
      <c r="T698"/>
      <c r="U698"/>
      <c r="V698"/>
      <c r="W698"/>
      <c r="X698"/>
      <c r="Y698"/>
      <c r="Z698"/>
    </row>
    <row r="699" spans="19:26" ht="15" customHeight="1" x14ac:dyDescent="0.25">
      <c r="S699"/>
      <c r="T699"/>
      <c r="U699"/>
      <c r="V699"/>
      <c r="W699"/>
      <c r="X699"/>
      <c r="Y699"/>
      <c r="Z699"/>
    </row>
    <row r="700" spans="19:26" ht="15" customHeight="1" x14ac:dyDescent="0.25">
      <c r="S700"/>
      <c r="T700"/>
      <c r="U700"/>
      <c r="V700"/>
      <c r="W700"/>
      <c r="X700"/>
      <c r="Y700"/>
      <c r="Z700"/>
    </row>
    <row r="701" spans="19:26" ht="15" customHeight="1" x14ac:dyDescent="0.25">
      <c r="S701"/>
      <c r="T701"/>
      <c r="U701"/>
      <c r="V701"/>
      <c r="W701"/>
      <c r="X701"/>
      <c r="Y701"/>
      <c r="Z701"/>
    </row>
    <row r="702" spans="19:26" ht="15" customHeight="1" x14ac:dyDescent="0.25">
      <c r="S702"/>
      <c r="T702"/>
      <c r="U702"/>
      <c r="V702"/>
      <c r="W702"/>
      <c r="X702"/>
      <c r="Y702"/>
      <c r="Z702"/>
    </row>
    <row r="703" spans="19:26" ht="15" customHeight="1" x14ac:dyDescent="0.25">
      <c r="S703"/>
      <c r="T703"/>
      <c r="U703"/>
      <c r="V703"/>
      <c r="W703"/>
      <c r="X703"/>
      <c r="Y703"/>
      <c r="Z703"/>
    </row>
    <row r="704" spans="19:26" ht="15" customHeight="1" x14ac:dyDescent="0.25">
      <c r="S704"/>
      <c r="T704"/>
      <c r="U704"/>
      <c r="V704"/>
      <c r="W704"/>
      <c r="X704"/>
      <c r="Y704"/>
      <c r="Z704"/>
    </row>
    <row r="705" spans="19:26" ht="15" customHeight="1" x14ac:dyDescent="0.25">
      <c r="S705"/>
      <c r="T705"/>
      <c r="U705"/>
      <c r="V705"/>
      <c r="W705"/>
      <c r="X705"/>
      <c r="Y705"/>
      <c r="Z705"/>
    </row>
    <row r="706" spans="19:26" ht="15" customHeight="1" x14ac:dyDescent="0.25">
      <c r="S706"/>
      <c r="T706"/>
      <c r="U706"/>
      <c r="V706"/>
      <c r="W706"/>
      <c r="X706"/>
      <c r="Y706"/>
      <c r="Z706"/>
    </row>
    <row r="707" spans="19:26" ht="15" customHeight="1" x14ac:dyDescent="0.25">
      <c r="S707"/>
      <c r="T707"/>
      <c r="U707"/>
      <c r="V707"/>
      <c r="W707"/>
      <c r="X707"/>
      <c r="Y707"/>
      <c r="Z707"/>
    </row>
    <row r="708" spans="19:26" ht="15" customHeight="1" x14ac:dyDescent="0.25">
      <c r="S708"/>
      <c r="T708"/>
      <c r="U708"/>
      <c r="V708"/>
      <c r="W708"/>
      <c r="X708"/>
      <c r="Y708"/>
      <c r="Z708"/>
    </row>
    <row r="709" spans="19:26" ht="15" customHeight="1" x14ac:dyDescent="0.25">
      <c r="S709"/>
      <c r="T709"/>
      <c r="U709"/>
      <c r="V709"/>
      <c r="W709"/>
      <c r="X709"/>
      <c r="Y709"/>
      <c r="Z709"/>
    </row>
    <row r="710" spans="19:26" ht="15" customHeight="1" x14ac:dyDescent="0.25">
      <c r="S710"/>
      <c r="T710"/>
      <c r="U710"/>
      <c r="V710"/>
      <c r="W710"/>
      <c r="X710"/>
      <c r="Y710"/>
      <c r="Z710"/>
    </row>
    <row r="711" spans="19:26" ht="15" customHeight="1" x14ac:dyDescent="0.25">
      <c r="S711"/>
      <c r="T711"/>
      <c r="U711"/>
      <c r="V711"/>
      <c r="W711"/>
      <c r="X711"/>
      <c r="Y711"/>
      <c r="Z711"/>
    </row>
    <row r="712" spans="19:26" ht="15" customHeight="1" x14ac:dyDescent="0.25">
      <c r="S712"/>
      <c r="T712"/>
      <c r="U712"/>
      <c r="V712"/>
      <c r="W712"/>
      <c r="X712"/>
      <c r="Y712"/>
      <c r="Z712"/>
    </row>
    <row r="713" spans="19:26" ht="15" customHeight="1" x14ac:dyDescent="0.25">
      <c r="S713"/>
      <c r="T713"/>
      <c r="U713"/>
      <c r="V713"/>
      <c r="W713"/>
      <c r="X713"/>
      <c r="Y713"/>
      <c r="Z713"/>
    </row>
    <row r="714" spans="19:26" ht="15" customHeight="1" x14ac:dyDescent="0.25">
      <c r="S714"/>
      <c r="T714"/>
      <c r="U714"/>
      <c r="V714"/>
      <c r="W714"/>
      <c r="X714"/>
      <c r="Y714"/>
      <c r="Z714"/>
    </row>
    <row r="715" spans="19:26" ht="15" customHeight="1" x14ac:dyDescent="0.25">
      <c r="S715"/>
      <c r="T715"/>
      <c r="U715"/>
      <c r="V715"/>
      <c r="W715"/>
      <c r="X715"/>
      <c r="Y715"/>
      <c r="Z715"/>
    </row>
    <row r="716" spans="19:26" ht="15" customHeight="1" x14ac:dyDescent="0.25">
      <c r="S716"/>
      <c r="T716"/>
      <c r="U716"/>
      <c r="V716"/>
      <c r="W716"/>
      <c r="X716"/>
      <c r="Y716"/>
      <c r="Z716"/>
    </row>
    <row r="717" spans="19:26" ht="15" customHeight="1" x14ac:dyDescent="0.25">
      <c r="S717"/>
      <c r="T717"/>
      <c r="U717"/>
      <c r="V717"/>
      <c r="W717"/>
      <c r="X717"/>
      <c r="Y717"/>
      <c r="Z717"/>
    </row>
    <row r="718" spans="19:26" ht="15" customHeight="1" x14ac:dyDescent="0.25">
      <c r="S718"/>
      <c r="T718"/>
      <c r="U718"/>
      <c r="V718"/>
      <c r="W718"/>
      <c r="X718"/>
      <c r="Y718"/>
      <c r="Z718"/>
    </row>
    <row r="719" spans="19:26" ht="15" customHeight="1" x14ac:dyDescent="0.25">
      <c r="S719"/>
      <c r="T719"/>
      <c r="U719"/>
      <c r="V719"/>
      <c r="W719"/>
      <c r="X719"/>
      <c r="Y719"/>
      <c r="Z719"/>
    </row>
    <row r="720" spans="19:26" ht="15" customHeight="1" x14ac:dyDescent="0.25">
      <c r="S720"/>
      <c r="T720"/>
      <c r="U720"/>
      <c r="V720"/>
      <c r="W720"/>
      <c r="X720"/>
      <c r="Y720"/>
      <c r="Z720"/>
    </row>
    <row r="721" spans="19:26" ht="15" customHeight="1" x14ac:dyDescent="0.25">
      <c r="S721"/>
      <c r="T721"/>
      <c r="U721"/>
      <c r="V721"/>
      <c r="W721"/>
      <c r="X721"/>
      <c r="Y721"/>
      <c r="Z721"/>
    </row>
    <row r="722" spans="19:26" ht="15" customHeight="1" x14ac:dyDescent="0.25">
      <c r="S722"/>
      <c r="T722"/>
      <c r="U722"/>
      <c r="V722"/>
      <c r="W722"/>
      <c r="X722"/>
      <c r="Y722"/>
      <c r="Z722"/>
    </row>
    <row r="723" spans="19:26" ht="15" customHeight="1" x14ac:dyDescent="0.25">
      <c r="S723"/>
      <c r="T723"/>
      <c r="U723"/>
      <c r="V723"/>
      <c r="W723"/>
      <c r="X723"/>
      <c r="Y723"/>
      <c r="Z723"/>
    </row>
    <row r="724" spans="19:26" ht="15" customHeight="1" x14ac:dyDescent="0.25">
      <c r="S724"/>
      <c r="T724"/>
      <c r="U724"/>
      <c r="V724"/>
      <c r="W724"/>
      <c r="X724"/>
      <c r="Y724"/>
      <c r="Z724"/>
    </row>
    <row r="725" spans="19:26" ht="15" customHeight="1" x14ac:dyDescent="0.25">
      <c r="S725"/>
      <c r="T725"/>
      <c r="U725"/>
      <c r="V725"/>
      <c r="W725"/>
      <c r="X725"/>
      <c r="Y725"/>
      <c r="Z725"/>
    </row>
    <row r="726" spans="19:26" ht="15" customHeight="1" x14ac:dyDescent="0.25">
      <c r="S726"/>
      <c r="T726"/>
      <c r="U726"/>
      <c r="V726"/>
      <c r="W726"/>
      <c r="X726"/>
      <c r="Y726"/>
      <c r="Z726"/>
    </row>
    <row r="727" spans="19:26" ht="15" customHeight="1" x14ac:dyDescent="0.25">
      <c r="S727"/>
      <c r="T727"/>
      <c r="U727"/>
      <c r="V727"/>
      <c r="W727"/>
      <c r="X727"/>
      <c r="Y727"/>
      <c r="Z727"/>
    </row>
    <row r="728" spans="19:26" ht="15" customHeight="1" x14ac:dyDescent="0.25">
      <c r="S728"/>
      <c r="T728"/>
      <c r="U728"/>
      <c r="V728"/>
      <c r="W728"/>
      <c r="X728"/>
      <c r="Y728"/>
      <c r="Z728"/>
    </row>
    <row r="729" spans="19:26" ht="15" customHeight="1" x14ac:dyDescent="0.25">
      <c r="S729"/>
      <c r="T729"/>
      <c r="U729"/>
      <c r="V729"/>
      <c r="W729"/>
      <c r="X729"/>
      <c r="Y729"/>
      <c r="Z729"/>
    </row>
    <row r="730" spans="19:26" ht="15" customHeight="1" x14ac:dyDescent="0.25">
      <c r="S730"/>
      <c r="T730"/>
      <c r="U730"/>
      <c r="V730"/>
      <c r="W730"/>
      <c r="X730"/>
      <c r="Y730"/>
      <c r="Z730"/>
    </row>
    <row r="731" spans="19:26" ht="15" customHeight="1" x14ac:dyDescent="0.25">
      <c r="S731"/>
      <c r="T731"/>
      <c r="U731"/>
      <c r="V731"/>
      <c r="W731"/>
      <c r="X731"/>
      <c r="Y731"/>
      <c r="Z731"/>
    </row>
    <row r="732" spans="19:26" ht="15" customHeight="1" x14ac:dyDescent="0.25">
      <c r="S732"/>
      <c r="T732"/>
      <c r="U732"/>
      <c r="V732"/>
      <c r="W732"/>
      <c r="X732"/>
      <c r="Y732"/>
      <c r="Z732"/>
    </row>
    <row r="733" spans="19:26" ht="15" customHeight="1" x14ac:dyDescent="0.25">
      <c r="S733"/>
      <c r="T733"/>
      <c r="U733"/>
      <c r="V733"/>
      <c r="W733"/>
      <c r="X733"/>
      <c r="Y733"/>
      <c r="Z733"/>
    </row>
    <row r="734" spans="19:26" ht="15" customHeight="1" x14ac:dyDescent="0.25">
      <c r="S734"/>
      <c r="T734"/>
      <c r="U734"/>
      <c r="V734"/>
      <c r="W734"/>
      <c r="X734"/>
      <c r="Y734"/>
      <c r="Z734"/>
    </row>
    <row r="735" spans="19:26" ht="15" customHeight="1" x14ac:dyDescent="0.25">
      <c r="S735"/>
      <c r="T735"/>
      <c r="U735"/>
      <c r="V735"/>
      <c r="W735"/>
      <c r="X735"/>
      <c r="Y735"/>
      <c r="Z735"/>
    </row>
    <row r="736" spans="19:26" ht="15" customHeight="1" x14ac:dyDescent="0.25">
      <c r="S736"/>
      <c r="T736"/>
      <c r="U736"/>
      <c r="V736"/>
      <c r="W736"/>
      <c r="X736"/>
      <c r="Y736"/>
      <c r="Z736"/>
    </row>
    <row r="737" spans="19:26" ht="15" customHeight="1" x14ac:dyDescent="0.25">
      <c r="S737"/>
      <c r="T737"/>
      <c r="U737"/>
      <c r="V737"/>
      <c r="W737"/>
      <c r="X737"/>
      <c r="Y737"/>
      <c r="Z737"/>
    </row>
    <row r="738" spans="19:26" ht="15" customHeight="1" x14ac:dyDescent="0.25">
      <c r="S738"/>
      <c r="T738"/>
      <c r="U738"/>
      <c r="V738"/>
      <c r="W738"/>
      <c r="X738"/>
      <c r="Y738"/>
      <c r="Z738"/>
    </row>
    <row r="739" spans="19:26" ht="15" customHeight="1" x14ac:dyDescent="0.25">
      <c r="S739"/>
      <c r="T739"/>
      <c r="U739"/>
      <c r="V739"/>
      <c r="W739"/>
      <c r="X739"/>
      <c r="Y739"/>
      <c r="Z739"/>
    </row>
    <row r="740" spans="19:26" ht="15" customHeight="1" x14ac:dyDescent="0.25">
      <c r="S740"/>
      <c r="T740"/>
      <c r="U740"/>
      <c r="V740"/>
      <c r="W740"/>
      <c r="X740"/>
      <c r="Y740"/>
      <c r="Z740"/>
    </row>
    <row r="741" spans="19:26" ht="15" customHeight="1" x14ac:dyDescent="0.25">
      <c r="S741"/>
      <c r="T741"/>
      <c r="U741"/>
      <c r="V741"/>
      <c r="W741"/>
      <c r="X741"/>
      <c r="Y741"/>
      <c r="Z741"/>
    </row>
    <row r="742" spans="19:26" ht="15" customHeight="1" x14ac:dyDescent="0.25">
      <c r="S742"/>
      <c r="T742"/>
      <c r="U742"/>
      <c r="V742"/>
      <c r="W742"/>
      <c r="X742"/>
      <c r="Y742"/>
      <c r="Z742"/>
    </row>
    <row r="743" spans="19:26" ht="15" customHeight="1" x14ac:dyDescent="0.25">
      <c r="S743"/>
      <c r="T743"/>
      <c r="U743"/>
      <c r="V743"/>
      <c r="W743"/>
      <c r="X743"/>
      <c r="Y743"/>
      <c r="Z743"/>
    </row>
    <row r="744" spans="19:26" ht="15" customHeight="1" x14ac:dyDescent="0.25">
      <c r="S744"/>
      <c r="T744"/>
      <c r="U744"/>
      <c r="V744"/>
      <c r="W744"/>
      <c r="X744"/>
      <c r="Y744"/>
      <c r="Z744"/>
    </row>
    <row r="745" spans="19:26" ht="15" customHeight="1" x14ac:dyDescent="0.25">
      <c r="S745"/>
      <c r="T745"/>
      <c r="U745"/>
      <c r="V745"/>
      <c r="W745"/>
      <c r="X745"/>
      <c r="Y745"/>
      <c r="Z745"/>
    </row>
    <row r="746" spans="19:26" ht="15" customHeight="1" x14ac:dyDescent="0.25">
      <c r="S746"/>
      <c r="T746"/>
      <c r="U746"/>
      <c r="V746"/>
      <c r="W746"/>
      <c r="X746"/>
      <c r="Y746"/>
      <c r="Z746"/>
    </row>
    <row r="747" spans="19:26" ht="15" customHeight="1" x14ac:dyDescent="0.25">
      <c r="S747"/>
      <c r="T747"/>
      <c r="U747"/>
      <c r="V747"/>
      <c r="W747"/>
      <c r="X747"/>
      <c r="Y747"/>
      <c r="Z747"/>
    </row>
    <row r="748" spans="19:26" ht="15" customHeight="1" x14ac:dyDescent="0.25">
      <c r="S748"/>
      <c r="T748"/>
      <c r="U748"/>
      <c r="V748"/>
      <c r="W748"/>
      <c r="X748"/>
      <c r="Y748"/>
      <c r="Z748"/>
    </row>
    <row r="749" spans="19:26" ht="15" customHeight="1" x14ac:dyDescent="0.25">
      <c r="S749"/>
      <c r="T749"/>
      <c r="U749"/>
      <c r="V749"/>
      <c r="W749"/>
      <c r="X749"/>
      <c r="Y749"/>
      <c r="Z749"/>
    </row>
    <row r="750" spans="19:26" ht="15" customHeight="1" x14ac:dyDescent="0.25">
      <c r="S750"/>
      <c r="T750"/>
      <c r="U750"/>
      <c r="V750"/>
      <c r="W750"/>
      <c r="X750"/>
      <c r="Y750"/>
      <c r="Z750"/>
    </row>
    <row r="751" spans="19:26" ht="15" customHeight="1" x14ac:dyDescent="0.25">
      <c r="S751"/>
      <c r="T751"/>
      <c r="U751"/>
      <c r="V751"/>
      <c r="W751"/>
      <c r="X751"/>
      <c r="Y751"/>
      <c r="Z751"/>
    </row>
    <row r="752" spans="19:26" ht="15" customHeight="1" x14ac:dyDescent="0.25">
      <c r="S752"/>
      <c r="T752"/>
      <c r="U752"/>
      <c r="V752"/>
      <c r="W752"/>
      <c r="X752"/>
      <c r="Y752"/>
      <c r="Z752"/>
    </row>
    <row r="753" spans="19:26" ht="15" customHeight="1" x14ac:dyDescent="0.25">
      <c r="S753"/>
      <c r="T753"/>
      <c r="U753"/>
      <c r="V753"/>
      <c r="W753"/>
      <c r="X753"/>
      <c r="Y753"/>
      <c r="Z753"/>
    </row>
    <row r="754" spans="19:26" ht="15" customHeight="1" x14ac:dyDescent="0.25">
      <c r="S754"/>
      <c r="T754"/>
      <c r="U754"/>
      <c r="V754"/>
      <c r="W754"/>
      <c r="X754"/>
      <c r="Y754"/>
      <c r="Z754"/>
    </row>
    <row r="755" spans="19:26" ht="15" customHeight="1" x14ac:dyDescent="0.25">
      <c r="S755"/>
      <c r="T755"/>
      <c r="U755"/>
      <c r="V755"/>
      <c r="W755"/>
      <c r="X755"/>
      <c r="Y755"/>
      <c r="Z755"/>
    </row>
    <row r="756" spans="19:26" ht="15" customHeight="1" x14ac:dyDescent="0.25">
      <c r="S756"/>
      <c r="T756"/>
      <c r="U756"/>
      <c r="V756"/>
      <c r="W756"/>
      <c r="X756"/>
      <c r="Y756"/>
      <c r="Z756"/>
    </row>
    <row r="757" spans="19:26" ht="15" customHeight="1" x14ac:dyDescent="0.25">
      <c r="S757"/>
      <c r="T757"/>
      <c r="U757"/>
      <c r="V757"/>
      <c r="W757"/>
      <c r="X757"/>
      <c r="Y757"/>
      <c r="Z757"/>
    </row>
    <row r="758" spans="19:26" ht="15" customHeight="1" x14ac:dyDescent="0.25">
      <c r="S758"/>
      <c r="T758"/>
      <c r="U758"/>
      <c r="V758"/>
      <c r="W758"/>
      <c r="X758"/>
      <c r="Y758"/>
      <c r="Z758"/>
    </row>
    <row r="759" spans="19:26" ht="15" customHeight="1" x14ac:dyDescent="0.25">
      <c r="S759"/>
      <c r="T759"/>
      <c r="U759"/>
      <c r="V759"/>
      <c r="W759"/>
      <c r="X759"/>
      <c r="Y759"/>
      <c r="Z759"/>
    </row>
    <row r="760" spans="19:26" ht="15" customHeight="1" x14ac:dyDescent="0.25">
      <c r="S760"/>
      <c r="T760"/>
      <c r="U760"/>
      <c r="V760"/>
      <c r="W760"/>
      <c r="X760"/>
      <c r="Y760"/>
      <c r="Z760"/>
    </row>
    <row r="761" spans="19:26" ht="15" customHeight="1" x14ac:dyDescent="0.25">
      <c r="S761"/>
      <c r="T761"/>
      <c r="U761"/>
      <c r="V761"/>
      <c r="W761"/>
      <c r="X761"/>
      <c r="Y761"/>
      <c r="Z761"/>
    </row>
    <row r="762" spans="19:26" ht="15" customHeight="1" x14ac:dyDescent="0.25">
      <c r="S762"/>
      <c r="T762"/>
      <c r="U762"/>
      <c r="V762"/>
      <c r="W762"/>
      <c r="X762"/>
      <c r="Y762"/>
      <c r="Z762"/>
    </row>
    <row r="763" spans="19:26" ht="15" customHeight="1" x14ac:dyDescent="0.25">
      <c r="S763"/>
      <c r="T763"/>
      <c r="U763"/>
      <c r="V763"/>
      <c r="W763"/>
      <c r="X763"/>
      <c r="Y763"/>
      <c r="Z763"/>
    </row>
    <row r="764" spans="19:26" ht="15" customHeight="1" x14ac:dyDescent="0.25">
      <c r="S764"/>
      <c r="T764"/>
      <c r="U764"/>
      <c r="V764"/>
      <c r="W764"/>
      <c r="X764"/>
      <c r="Y764"/>
      <c r="Z764"/>
    </row>
    <row r="765" spans="19:26" ht="15" customHeight="1" x14ac:dyDescent="0.25">
      <c r="S765"/>
      <c r="T765"/>
      <c r="U765"/>
      <c r="V765"/>
      <c r="W765"/>
      <c r="X765"/>
      <c r="Y765"/>
      <c r="Z765"/>
    </row>
    <row r="766" spans="19:26" ht="15" customHeight="1" x14ac:dyDescent="0.25">
      <c r="S766"/>
      <c r="T766"/>
      <c r="U766"/>
      <c r="V766"/>
      <c r="W766"/>
      <c r="X766"/>
      <c r="Y766"/>
      <c r="Z766"/>
    </row>
    <row r="767" spans="19:26" ht="15" customHeight="1" x14ac:dyDescent="0.25">
      <c r="S767"/>
      <c r="T767"/>
      <c r="U767"/>
      <c r="V767"/>
      <c r="W767"/>
      <c r="X767"/>
      <c r="Y767"/>
      <c r="Z767"/>
    </row>
    <row r="768" spans="19:26" ht="15" customHeight="1" x14ac:dyDescent="0.25">
      <c r="S768"/>
      <c r="T768"/>
      <c r="U768"/>
      <c r="V768"/>
      <c r="W768"/>
      <c r="X768"/>
      <c r="Y768"/>
      <c r="Z768"/>
    </row>
    <row r="769" spans="19:26" ht="15" customHeight="1" x14ac:dyDescent="0.25">
      <c r="S769"/>
      <c r="T769"/>
      <c r="U769"/>
      <c r="V769"/>
      <c r="W769"/>
      <c r="X769"/>
      <c r="Y769"/>
      <c r="Z769"/>
    </row>
    <row r="770" spans="19:26" ht="15" customHeight="1" x14ac:dyDescent="0.25">
      <c r="S770"/>
      <c r="T770"/>
      <c r="U770"/>
      <c r="V770"/>
      <c r="W770"/>
      <c r="X770"/>
      <c r="Y770"/>
      <c r="Z770"/>
    </row>
    <row r="771" spans="19:26" ht="15" customHeight="1" x14ac:dyDescent="0.25">
      <c r="S771"/>
      <c r="T771"/>
      <c r="U771"/>
      <c r="V771"/>
      <c r="W771"/>
      <c r="X771"/>
      <c r="Y771"/>
      <c r="Z771"/>
    </row>
    <row r="772" spans="19:26" ht="15" customHeight="1" x14ac:dyDescent="0.25">
      <c r="S772"/>
      <c r="T772"/>
      <c r="U772"/>
      <c r="V772"/>
      <c r="W772"/>
      <c r="X772"/>
      <c r="Y772"/>
      <c r="Z772"/>
    </row>
    <row r="773" spans="19:26" ht="15" customHeight="1" x14ac:dyDescent="0.25">
      <c r="S773"/>
      <c r="T773"/>
      <c r="U773"/>
      <c r="V773"/>
      <c r="W773"/>
      <c r="X773"/>
      <c r="Y773"/>
      <c r="Z773"/>
    </row>
    <row r="774" spans="19:26" ht="15" customHeight="1" x14ac:dyDescent="0.25">
      <c r="S774"/>
      <c r="T774"/>
      <c r="U774"/>
      <c r="V774"/>
      <c r="W774"/>
      <c r="X774"/>
      <c r="Y774"/>
      <c r="Z774"/>
    </row>
    <row r="775" spans="19:26" ht="15" customHeight="1" x14ac:dyDescent="0.25">
      <c r="S775"/>
      <c r="T775"/>
      <c r="U775"/>
      <c r="V775"/>
      <c r="W775"/>
      <c r="X775"/>
      <c r="Y775"/>
      <c r="Z775"/>
    </row>
    <row r="776" spans="19:26" ht="15" customHeight="1" x14ac:dyDescent="0.25">
      <c r="S776"/>
      <c r="T776"/>
      <c r="U776"/>
      <c r="V776"/>
      <c r="W776"/>
      <c r="X776"/>
      <c r="Y776"/>
      <c r="Z776"/>
    </row>
    <row r="777" spans="19:26" ht="15" customHeight="1" x14ac:dyDescent="0.25">
      <c r="S777"/>
      <c r="T777"/>
      <c r="U777"/>
      <c r="V777"/>
      <c r="W777"/>
      <c r="X777"/>
      <c r="Y777"/>
      <c r="Z777"/>
    </row>
    <row r="778" spans="19:26" ht="15" customHeight="1" x14ac:dyDescent="0.25">
      <c r="S778"/>
      <c r="T778"/>
      <c r="U778"/>
      <c r="V778"/>
      <c r="W778"/>
      <c r="X778"/>
      <c r="Y778"/>
      <c r="Z778"/>
    </row>
    <row r="779" spans="19:26" ht="15" customHeight="1" x14ac:dyDescent="0.25">
      <c r="S779"/>
      <c r="T779"/>
      <c r="U779"/>
      <c r="V779"/>
      <c r="W779"/>
      <c r="X779"/>
      <c r="Y779"/>
      <c r="Z779"/>
    </row>
    <row r="780" spans="19:26" ht="15" customHeight="1" x14ac:dyDescent="0.25">
      <c r="S780"/>
      <c r="T780"/>
      <c r="U780"/>
      <c r="V780"/>
      <c r="W780"/>
      <c r="X780"/>
      <c r="Y780"/>
      <c r="Z780"/>
    </row>
    <row r="781" spans="19:26" ht="15" customHeight="1" x14ac:dyDescent="0.25">
      <c r="S781"/>
      <c r="T781"/>
      <c r="U781"/>
      <c r="V781"/>
      <c r="W781"/>
      <c r="X781"/>
      <c r="Y781"/>
      <c r="Z781"/>
    </row>
    <row r="782" spans="19:26" ht="15" customHeight="1" x14ac:dyDescent="0.25">
      <c r="S782"/>
      <c r="T782"/>
      <c r="U782"/>
      <c r="V782"/>
      <c r="W782"/>
      <c r="X782"/>
      <c r="Y782"/>
      <c r="Z782"/>
    </row>
    <row r="783" spans="19:26" ht="15" customHeight="1" x14ac:dyDescent="0.25">
      <c r="S783"/>
      <c r="T783"/>
      <c r="U783"/>
      <c r="V783"/>
      <c r="W783"/>
      <c r="X783"/>
      <c r="Y783"/>
      <c r="Z783"/>
    </row>
    <row r="784" spans="19:26" ht="15" customHeight="1" x14ac:dyDescent="0.25">
      <c r="S784"/>
      <c r="T784"/>
      <c r="U784"/>
      <c r="V784"/>
      <c r="W784"/>
      <c r="X784"/>
      <c r="Y784"/>
      <c r="Z784"/>
    </row>
    <row r="785" spans="19:26" ht="15" customHeight="1" x14ac:dyDescent="0.25">
      <c r="S785"/>
      <c r="T785"/>
      <c r="U785"/>
      <c r="V785"/>
      <c r="W785"/>
      <c r="X785"/>
      <c r="Y785"/>
      <c r="Z785"/>
    </row>
    <row r="786" spans="19:26" ht="15" customHeight="1" x14ac:dyDescent="0.25">
      <c r="S786"/>
      <c r="T786"/>
      <c r="U786"/>
      <c r="V786"/>
      <c r="W786"/>
      <c r="X786"/>
      <c r="Y786"/>
      <c r="Z786"/>
    </row>
    <row r="787" spans="19:26" ht="15" customHeight="1" x14ac:dyDescent="0.25">
      <c r="S787"/>
      <c r="T787"/>
      <c r="U787"/>
      <c r="V787"/>
      <c r="W787"/>
      <c r="X787"/>
      <c r="Y787"/>
      <c r="Z787"/>
    </row>
    <row r="788" spans="19:26" ht="15" customHeight="1" x14ac:dyDescent="0.25">
      <c r="S788"/>
      <c r="T788"/>
      <c r="U788"/>
      <c r="V788"/>
      <c r="W788"/>
      <c r="X788"/>
      <c r="Y788"/>
      <c r="Z788"/>
    </row>
    <row r="789" spans="19:26" ht="15" customHeight="1" x14ac:dyDescent="0.25">
      <c r="S789"/>
      <c r="T789"/>
      <c r="U789"/>
      <c r="V789"/>
      <c r="W789"/>
      <c r="X789"/>
      <c r="Y789"/>
      <c r="Z789"/>
    </row>
    <row r="790" spans="19:26" ht="15" customHeight="1" x14ac:dyDescent="0.25">
      <c r="S790"/>
      <c r="T790"/>
      <c r="U790"/>
      <c r="V790"/>
      <c r="W790"/>
      <c r="X790"/>
      <c r="Y790"/>
      <c r="Z790"/>
    </row>
    <row r="791" spans="19:26" ht="15" customHeight="1" x14ac:dyDescent="0.25">
      <c r="S791"/>
      <c r="T791"/>
      <c r="U791"/>
      <c r="V791"/>
      <c r="W791"/>
      <c r="X791"/>
      <c r="Y791"/>
      <c r="Z791"/>
    </row>
    <row r="792" spans="19:26" ht="15" customHeight="1" x14ac:dyDescent="0.25">
      <c r="S792"/>
      <c r="T792"/>
      <c r="U792"/>
      <c r="V792"/>
      <c r="W792"/>
      <c r="X792"/>
      <c r="Y792"/>
      <c r="Z792"/>
    </row>
    <row r="793" spans="19:26" ht="15" customHeight="1" x14ac:dyDescent="0.25">
      <c r="S793"/>
      <c r="T793"/>
      <c r="U793"/>
      <c r="V793"/>
      <c r="W793"/>
      <c r="X793"/>
      <c r="Y793"/>
      <c r="Z793"/>
    </row>
    <row r="794" spans="19:26" ht="15" customHeight="1" x14ac:dyDescent="0.25">
      <c r="S794"/>
      <c r="T794"/>
      <c r="U794"/>
      <c r="V794"/>
      <c r="W794"/>
      <c r="X794"/>
      <c r="Y794"/>
      <c r="Z794"/>
    </row>
    <row r="795" spans="19:26" ht="15" customHeight="1" x14ac:dyDescent="0.25">
      <c r="S795"/>
      <c r="T795"/>
      <c r="U795"/>
      <c r="V795"/>
      <c r="W795"/>
      <c r="X795"/>
      <c r="Y795"/>
      <c r="Z795"/>
    </row>
    <row r="796" spans="19:26" ht="15" customHeight="1" x14ac:dyDescent="0.25">
      <c r="S796"/>
      <c r="T796"/>
      <c r="U796"/>
      <c r="V796"/>
      <c r="W796"/>
      <c r="X796"/>
      <c r="Y796"/>
      <c r="Z796"/>
    </row>
    <row r="797" spans="19:26" ht="15" customHeight="1" x14ac:dyDescent="0.25">
      <c r="S797"/>
      <c r="T797"/>
      <c r="U797"/>
      <c r="V797"/>
      <c r="W797"/>
      <c r="X797"/>
      <c r="Y797"/>
      <c r="Z797"/>
    </row>
    <row r="798" spans="19:26" ht="15" customHeight="1" x14ac:dyDescent="0.25">
      <c r="S798"/>
      <c r="T798"/>
      <c r="U798"/>
      <c r="V798"/>
      <c r="W798"/>
      <c r="X798"/>
      <c r="Y798"/>
      <c r="Z798"/>
    </row>
    <row r="799" spans="19:26" ht="15" customHeight="1" x14ac:dyDescent="0.25">
      <c r="S799"/>
      <c r="T799"/>
      <c r="U799"/>
      <c r="V799"/>
      <c r="W799"/>
      <c r="X799"/>
      <c r="Y799"/>
      <c r="Z799"/>
    </row>
    <row r="800" spans="19:26" ht="15" customHeight="1" x14ac:dyDescent="0.25">
      <c r="S800"/>
      <c r="T800"/>
      <c r="U800"/>
      <c r="V800"/>
      <c r="W800"/>
      <c r="X800"/>
      <c r="Y800"/>
      <c r="Z800"/>
    </row>
    <row r="801" spans="19:26" ht="15" customHeight="1" x14ac:dyDescent="0.25">
      <c r="S801"/>
      <c r="T801"/>
      <c r="U801"/>
      <c r="V801"/>
      <c r="W801"/>
      <c r="X801"/>
      <c r="Y801"/>
      <c r="Z801"/>
    </row>
    <row r="802" spans="19:26" ht="15" customHeight="1" x14ac:dyDescent="0.25">
      <c r="S802"/>
      <c r="T802"/>
      <c r="U802"/>
      <c r="V802"/>
      <c r="W802"/>
      <c r="X802"/>
      <c r="Y802"/>
      <c r="Z802"/>
    </row>
    <row r="803" spans="19:26" ht="15" customHeight="1" x14ac:dyDescent="0.25">
      <c r="S803"/>
      <c r="T803"/>
      <c r="U803"/>
      <c r="V803"/>
      <c r="W803"/>
      <c r="X803"/>
      <c r="Y803"/>
      <c r="Z803"/>
    </row>
    <row r="804" spans="19:26" ht="15" customHeight="1" x14ac:dyDescent="0.25">
      <c r="S804"/>
      <c r="T804"/>
      <c r="U804"/>
      <c r="V804"/>
      <c r="W804"/>
      <c r="X804"/>
      <c r="Y804"/>
      <c r="Z804"/>
    </row>
    <row r="805" spans="19:26" ht="15" customHeight="1" x14ac:dyDescent="0.25">
      <c r="S805"/>
      <c r="T805"/>
      <c r="U805"/>
      <c r="V805"/>
      <c r="W805"/>
      <c r="X805"/>
      <c r="Y805"/>
      <c r="Z805"/>
    </row>
    <row r="806" spans="19:26" ht="15" customHeight="1" x14ac:dyDescent="0.25">
      <c r="S806"/>
      <c r="T806"/>
      <c r="U806"/>
      <c r="V806"/>
      <c r="W806"/>
      <c r="X806"/>
      <c r="Y806"/>
      <c r="Z806"/>
    </row>
    <row r="807" spans="19:26" ht="15" customHeight="1" x14ac:dyDescent="0.25">
      <c r="S807"/>
      <c r="T807"/>
      <c r="U807"/>
      <c r="V807"/>
      <c r="W807"/>
      <c r="X807"/>
      <c r="Y807"/>
      <c r="Z807"/>
    </row>
    <row r="808" spans="19:26" ht="15" customHeight="1" x14ac:dyDescent="0.25">
      <c r="S808"/>
      <c r="T808"/>
      <c r="U808"/>
      <c r="V808"/>
      <c r="W808"/>
      <c r="X808"/>
      <c r="Y808"/>
      <c r="Z808"/>
    </row>
    <row r="809" spans="19:26" ht="15" customHeight="1" x14ac:dyDescent="0.25">
      <c r="S809"/>
      <c r="T809"/>
      <c r="U809"/>
      <c r="V809"/>
      <c r="W809"/>
      <c r="X809"/>
      <c r="Y809"/>
      <c r="Z809"/>
    </row>
    <row r="810" spans="19:26" ht="15" customHeight="1" x14ac:dyDescent="0.25">
      <c r="S810"/>
      <c r="T810"/>
      <c r="U810"/>
      <c r="V810"/>
      <c r="W810"/>
      <c r="X810"/>
      <c r="Y810"/>
      <c r="Z810"/>
    </row>
    <row r="811" spans="19:26" ht="15" customHeight="1" x14ac:dyDescent="0.25">
      <c r="S811"/>
      <c r="T811"/>
      <c r="U811"/>
      <c r="V811"/>
      <c r="W811"/>
      <c r="X811"/>
      <c r="Y811"/>
      <c r="Z811"/>
    </row>
    <row r="812" spans="19:26" ht="15" customHeight="1" x14ac:dyDescent="0.25">
      <c r="S812"/>
      <c r="T812"/>
      <c r="U812"/>
      <c r="V812"/>
      <c r="W812"/>
      <c r="X812"/>
      <c r="Y812"/>
      <c r="Z812"/>
    </row>
    <row r="813" spans="19:26" ht="15" customHeight="1" x14ac:dyDescent="0.25">
      <c r="S813"/>
      <c r="T813"/>
      <c r="U813"/>
      <c r="V813"/>
      <c r="W813"/>
      <c r="X813"/>
      <c r="Y813"/>
      <c r="Z813"/>
    </row>
    <row r="814" spans="19:26" ht="15" customHeight="1" x14ac:dyDescent="0.25">
      <c r="S814"/>
      <c r="T814"/>
      <c r="U814"/>
      <c r="V814"/>
      <c r="W814"/>
      <c r="X814"/>
      <c r="Y814"/>
      <c r="Z814"/>
    </row>
    <row r="815" spans="19:26" ht="15" customHeight="1" x14ac:dyDescent="0.25">
      <c r="S815"/>
      <c r="T815"/>
      <c r="U815"/>
      <c r="V815"/>
      <c r="W815"/>
      <c r="X815"/>
      <c r="Y815"/>
      <c r="Z815"/>
    </row>
    <row r="816" spans="19:26" ht="15" customHeight="1" x14ac:dyDescent="0.25">
      <c r="S816"/>
      <c r="T816"/>
      <c r="U816"/>
      <c r="V816"/>
      <c r="W816"/>
      <c r="X816"/>
      <c r="Y816"/>
      <c r="Z816"/>
    </row>
    <row r="817" spans="19:26" ht="15" customHeight="1" x14ac:dyDescent="0.25">
      <c r="S817"/>
      <c r="T817"/>
      <c r="U817"/>
      <c r="V817"/>
      <c r="W817"/>
      <c r="X817"/>
      <c r="Y817"/>
      <c r="Z817"/>
    </row>
    <row r="818" spans="19:26" ht="15" customHeight="1" x14ac:dyDescent="0.25">
      <c r="S818"/>
      <c r="T818"/>
      <c r="U818"/>
      <c r="V818"/>
      <c r="W818"/>
      <c r="X818"/>
      <c r="Y818"/>
      <c r="Z818"/>
    </row>
    <row r="819" spans="19:26" ht="15" customHeight="1" x14ac:dyDescent="0.25">
      <c r="S819"/>
      <c r="T819"/>
      <c r="U819"/>
      <c r="V819"/>
      <c r="W819"/>
      <c r="X819"/>
      <c r="Y819"/>
      <c r="Z819"/>
    </row>
    <row r="820" spans="19:26" ht="15" customHeight="1" x14ac:dyDescent="0.25">
      <c r="S820"/>
      <c r="T820"/>
      <c r="U820"/>
      <c r="V820"/>
      <c r="W820"/>
      <c r="X820"/>
      <c r="Y820"/>
      <c r="Z820"/>
    </row>
    <row r="821" spans="19:26" ht="15" customHeight="1" x14ac:dyDescent="0.25">
      <c r="S821"/>
      <c r="T821"/>
      <c r="U821"/>
      <c r="V821"/>
      <c r="W821"/>
      <c r="X821"/>
      <c r="Y821"/>
      <c r="Z821"/>
    </row>
    <row r="822" spans="19:26" ht="15" customHeight="1" x14ac:dyDescent="0.25">
      <c r="S822"/>
      <c r="T822"/>
      <c r="U822"/>
      <c r="V822"/>
      <c r="W822"/>
      <c r="X822"/>
      <c r="Y822"/>
      <c r="Z822"/>
    </row>
    <row r="823" spans="19:26" ht="15" customHeight="1" x14ac:dyDescent="0.25">
      <c r="S823"/>
      <c r="T823"/>
      <c r="U823"/>
      <c r="V823"/>
      <c r="W823"/>
      <c r="X823"/>
      <c r="Y823"/>
      <c r="Z823"/>
    </row>
    <row r="824" spans="19:26" ht="15" customHeight="1" x14ac:dyDescent="0.25">
      <c r="S824"/>
      <c r="T824"/>
      <c r="U824"/>
      <c r="V824"/>
      <c r="W824"/>
      <c r="X824"/>
      <c r="Y824"/>
      <c r="Z824"/>
    </row>
    <row r="825" spans="19:26" ht="15" customHeight="1" x14ac:dyDescent="0.25">
      <c r="S825"/>
      <c r="T825"/>
      <c r="U825"/>
      <c r="V825"/>
      <c r="W825"/>
      <c r="X825"/>
      <c r="Y825"/>
      <c r="Z825"/>
    </row>
    <row r="826" spans="19:26" ht="15" customHeight="1" x14ac:dyDescent="0.25">
      <c r="S826"/>
      <c r="T826"/>
      <c r="U826"/>
      <c r="V826"/>
      <c r="W826"/>
      <c r="X826"/>
      <c r="Y826"/>
      <c r="Z826"/>
    </row>
    <row r="827" spans="19:26" ht="15" customHeight="1" x14ac:dyDescent="0.25">
      <c r="S827"/>
      <c r="T827"/>
      <c r="U827"/>
      <c r="V827"/>
      <c r="W827"/>
      <c r="X827"/>
      <c r="Y827"/>
      <c r="Z827"/>
    </row>
    <row r="828" spans="19:26" ht="15" customHeight="1" x14ac:dyDescent="0.25">
      <c r="S828"/>
      <c r="T828"/>
      <c r="U828"/>
      <c r="V828"/>
      <c r="W828"/>
      <c r="X828"/>
      <c r="Y828"/>
      <c r="Z828"/>
    </row>
    <row r="829" spans="19:26" ht="15" customHeight="1" x14ac:dyDescent="0.25">
      <c r="S829"/>
      <c r="T829"/>
      <c r="U829"/>
      <c r="V829"/>
      <c r="W829"/>
      <c r="X829"/>
      <c r="Y829"/>
      <c r="Z829"/>
    </row>
    <row r="830" spans="19:26" ht="15" customHeight="1" x14ac:dyDescent="0.25">
      <c r="S830"/>
      <c r="T830"/>
      <c r="U830"/>
      <c r="V830"/>
      <c r="W830"/>
      <c r="X830"/>
      <c r="Y830"/>
      <c r="Z830"/>
    </row>
    <row r="831" spans="19:26" ht="15" customHeight="1" x14ac:dyDescent="0.25">
      <c r="S831"/>
      <c r="T831"/>
      <c r="U831"/>
      <c r="V831"/>
      <c r="W831"/>
      <c r="X831"/>
      <c r="Y831"/>
      <c r="Z831"/>
    </row>
    <row r="832" spans="19:26" ht="15" customHeight="1" x14ac:dyDescent="0.25">
      <c r="S832"/>
      <c r="T832"/>
      <c r="U832"/>
      <c r="V832"/>
      <c r="W832"/>
      <c r="X832"/>
      <c r="Y832"/>
      <c r="Z832"/>
    </row>
    <row r="833" spans="19:26" ht="15" customHeight="1" x14ac:dyDescent="0.25">
      <c r="S833"/>
      <c r="T833"/>
      <c r="U833"/>
      <c r="V833"/>
      <c r="W833"/>
      <c r="X833"/>
      <c r="Y833"/>
      <c r="Z833"/>
    </row>
    <row r="834" spans="19:26" ht="15" customHeight="1" x14ac:dyDescent="0.25">
      <c r="S834"/>
      <c r="T834"/>
      <c r="U834"/>
      <c r="V834"/>
      <c r="W834"/>
      <c r="X834"/>
      <c r="Y834"/>
      <c r="Z834"/>
    </row>
    <row r="835" spans="19:26" ht="15" customHeight="1" x14ac:dyDescent="0.25">
      <c r="S835"/>
      <c r="T835"/>
      <c r="U835"/>
      <c r="V835"/>
      <c r="W835"/>
      <c r="X835"/>
      <c r="Y835"/>
      <c r="Z835"/>
    </row>
    <row r="836" spans="19:26" ht="15" customHeight="1" x14ac:dyDescent="0.25">
      <c r="S836"/>
      <c r="T836"/>
      <c r="U836"/>
      <c r="V836"/>
      <c r="W836"/>
      <c r="X836"/>
      <c r="Y836"/>
      <c r="Z836"/>
    </row>
    <row r="837" spans="19:26" ht="15" customHeight="1" x14ac:dyDescent="0.25">
      <c r="S837"/>
      <c r="T837"/>
      <c r="U837"/>
      <c r="V837"/>
      <c r="W837"/>
      <c r="X837"/>
      <c r="Y837"/>
      <c r="Z837"/>
    </row>
    <row r="838" spans="19:26" ht="15" customHeight="1" x14ac:dyDescent="0.25">
      <c r="S838"/>
      <c r="T838"/>
      <c r="U838"/>
      <c r="V838"/>
      <c r="W838"/>
      <c r="X838"/>
      <c r="Y838"/>
      <c r="Z838"/>
    </row>
    <row r="839" spans="19:26" ht="15" customHeight="1" x14ac:dyDescent="0.25">
      <c r="S839"/>
      <c r="T839"/>
      <c r="U839"/>
      <c r="V839"/>
      <c r="W839"/>
      <c r="X839"/>
      <c r="Y839"/>
      <c r="Z839"/>
    </row>
    <row r="840" spans="19:26" ht="15" customHeight="1" x14ac:dyDescent="0.25">
      <c r="S840"/>
      <c r="T840"/>
      <c r="U840"/>
      <c r="V840"/>
      <c r="W840"/>
      <c r="X840"/>
      <c r="Y840"/>
      <c r="Z840"/>
    </row>
    <row r="841" spans="19:26" ht="15" customHeight="1" x14ac:dyDescent="0.25">
      <c r="S841"/>
      <c r="T841"/>
      <c r="U841"/>
      <c r="V841"/>
      <c r="W841"/>
      <c r="X841"/>
      <c r="Y841"/>
      <c r="Z841"/>
    </row>
    <row r="842" spans="19:26" ht="15" customHeight="1" x14ac:dyDescent="0.25">
      <c r="S842"/>
      <c r="T842"/>
      <c r="U842"/>
      <c r="V842"/>
      <c r="W842"/>
      <c r="X842"/>
      <c r="Y842"/>
      <c r="Z842"/>
    </row>
    <row r="843" spans="19:26" ht="15" customHeight="1" x14ac:dyDescent="0.25">
      <c r="S843"/>
      <c r="T843"/>
      <c r="U843"/>
      <c r="V843"/>
      <c r="W843"/>
      <c r="X843"/>
      <c r="Y843"/>
      <c r="Z843"/>
    </row>
    <row r="844" spans="19:26" ht="15" customHeight="1" x14ac:dyDescent="0.25">
      <c r="S844"/>
      <c r="T844"/>
      <c r="U844"/>
      <c r="V844"/>
      <c r="W844"/>
      <c r="X844"/>
      <c r="Y844"/>
      <c r="Z844"/>
    </row>
    <row r="845" spans="19:26" ht="15" customHeight="1" x14ac:dyDescent="0.25">
      <c r="S845"/>
      <c r="T845"/>
      <c r="U845"/>
      <c r="V845"/>
      <c r="W845"/>
      <c r="X845"/>
      <c r="Y845"/>
      <c r="Z845"/>
    </row>
    <row r="846" spans="19:26" ht="15" customHeight="1" x14ac:dyDescent="0.25">
      <c r="S846"/>
      <c r="T846"/>
      <c r="U846"/>
      <c r="V846"/>
      <c r="W846"/>
      <c r="X846"/>
      <c r="Y846"/>
      <c r="Z846"/>
    </row>
    <row r="847" spans="19:26" ht="15" customHeight="1" x14ac:dyDescent="0.25">
      <c r="S847"/>
      <c r="T847"/>
      <c r="U847"/>
      <c r="V847"/>
      <c r="W847"/>
      <c r="X847"/>
      <c r="Y847"/>
      <c r="Z847"/>
    </row>
    <row r="848" spans="19:26" ht="15" customHeight="1" x14ac:dyDescent="0.25">
      <c r="S848"/>
      <c r="T848"/>
      <c r="U848"/>
      <c r="V848"/>
      <c r="W848"/>
      <c r="X848"/>
      <c r="Y848"/>
      <c r="Z848"/>
    </row>
    <row r="849" spans="19:26" ht="15" customHeight="1" x14ac:dyDescent="0.25">
      <c r="S849"/>
      <c r="T849"/>
      <c r="U849"/>
      <c r="V849"/>
      <c r="W849"/>
      <c r="X849"/>
      <c r="Y849"/>
      <c r="Z849"/>
    </row>
    <row r="850" spans="19:26" ht="15" customHeight="1" x14ac:dyDescent="0.25">
      <c r="S850"/>
      <c r="T850"/>
      <c r="U850"/>
      <c r="V850"/>
      <c r="W850"/>
      <c r="X850"/>
      <c r="Y850"/>
      <c r="Z850"/>
    </row>
    <row r="851" spans="19:26" ht="15" customHeight="1" x14ac:dyDescent="0.25">
      <c r="S851"/>
      <c r="T851"/>
      <c r="U851"/>
      <c r="V851"/>
      <c r="W851"/>
      <c r="X851"/>
      <c r="Y851"/>
      <c r="Z851"/>
    </row>
    <row r="852" spans="19:26" ht="15" customHeight="1" x14ac:dyDescent="0.25">
      <c r="S852"/>
      <c r="T852"/>
      <c r="U852"/>
      <c r="V852"/>
      <c r="W852"/>
      <c r="X852"/>
      <c r="Y852"/>
      <c r="Z852"/>
    </row>
    <row r="853" spans="19:26" ht="15" customHeight="1" x14ac:dyDescent="0.25">
      <c r="S853"/>
      <c r="T853"/>
      <c r="U853"/>
      <c r="V853"/>
      <c r="W853"/>
      <c r="X853"/>
      <c r="Y853"/>
      <c r="Z853"/>
    </row>
    <row r="854" spans="19:26" ht="15" customHeight="1" x14ac:dyDescent="0.25">
      <c r="S854"/>
      <c r="T854"/>
      <c r="U854"/>
      <c r="V854"/>
      <c r="W854"/>
      <c r="X854"/>
      <c r="Y854"/>
      <c r="Z854"/>
    </row>
    <row r="855" spans="19:26" ht="15" customHeight="1" x14ac:dyDescent="0.25">
      <c r="S855"/>
      <c r="T855"/>
      <c r="U855"/>
      <c r="V855"/>
      <c r="W855"/>
      <c r="X855"/>
      <c r="Y855"/>
      <c r="Z855"/>
    </row>
    <row r="856" spans="19:26" ht="15" customHeight="1" x14ac:dyDescent="0.25">
      <c r="S856"/>
      <c r="T856"/>
      <c r="U856"/>
      <c r="V856"/>
      <c r="W856"/>
      <c r="X856"/>
      <c r="Y856"/>
      <c r="Z856"/>
    </row>
    <row r="857" spans="19:26" ht="15" customHeight="1" x14ac:dyDescent="0.25">
      <c r="S857"/>
      <c r="T857"/>
      <c r="U857"/>
      <c r="V857"/>
      <c r="W857"/>
      <c r="X857"/>
      <c r="Y857"/>
      <c r="Z857"/>
    </row>
    <row r="858" spans="19:26" ht="15" customHeight="1" x14ac:dyDescent="0.25">
      <c r="S858"/>
      <c r="T858"/>
      <c r="U858"/>
      <c r="V858"/>
      <c r="W858"/>
      <c r="X858"/>
      <c r="Y858"/>
      <c r="Z858"/>
    </row>
    <row r="859" spans="19:26" ht="15" customHeight="1" x14ac:dyDescent="0.25">
      <c r="S859"/>
      <c r="T859"/>
      <c r="U859"/>
      <c r="V859"/>
      <c r="W859"/>
      <c r="X859"/>
      <c r="Y859"/>
      <c r="Z859"/>
    </row>
    <row r="860" spans="19:26" ht="15" customHeight="1" x14ac:dyDescent="0.25">
      <c r="S860"/>
      <c r="T860"/>
      <c r="U860"/>
      <c r="V860"/>
      <c r="W860"/>
      <c r="X860"/>
      <c r="Y860"/>
      <c r="Z860"/>
    </row>
    <row r="861" spans="19:26" ht="15" customHeight="1" x14ac:dyDescent="0.25">
      <c r="S861"/>
      <c r="T861"/>
      <c r="U861"/>
      <c r="V861"/>
      <c r="W861"/>
      <c r="X861"/>
      <c r="Y861"/>
      <c r="Z861"/>
    </row>
    <row r="862" spans="19:26" ht="15" customHeight="1" x14ac:dyDescent="0.25">
      <c r="S862"/>
      <c r="T862"/>
      <c r="U862"/>
      <c r="V862"/>
      <c r="W862"/>
      <c r="X862"/>
      <c r="Y862"/>
      <c r="Z862"/>
    </row>
    <row r="863" spans="19:26" ht="15" customHeight="1" x14ac:dyDescent="0.25">
      <c r="S863"/>
      <c r="T863"/>
      <c r="U863"/>
      <c r="V863"/>
      <c r="W863"/>
      <c r="X863"/>
      <c r="Y863"/>
      <c r="Z863"/>
    </row>
    <row r="864" spans="19:26" ht="15" customHeight="1" x14ac:dyDescent="0.25">
      <c r="S864"/>
      <c r="T864"/>
      <c r="U864"/>
      <c r="V864"/>
      <c r="W864"/>
      <c r="X864"/>
      <c r="Y864"/>
      <c r="Z864"/>
    </row>
    <row r="865" spans="19:26" ht="15" customHeight="1" x14ac:dyDescent="0.25">
      <c r="S865"/>
      <c r="T865"/>
      <c r="U865"/>
      <c r="V865"/>
      <c r="W865"/>
      <c r="X865"/>
      <c r="Y865"/>
      <c r="Z865"/>
    </row>
    <row r="866" spans="19:26" ht="15" customHeight="1" x14ac:dyDescent="0.25">
      <c r="S866"/>
      <c r="T866"/>
      <c r="U866"/>
      <c r="V866"/>
      <c r="W866"/>
      <c r="X866"/>
      <c r="Y866"/>
      <c r="Z866"/>
    </row>
    <row r="867" spans="19:26" ht="15" customHeight="1" x14ac:dyDescent="0.25">
      <c r="S867"/>
      <c r="T867"/>
      <c r="U867"/>
      <c r="V867"/>
      <c r="W867"/>
      <c r="X867"/>
      <c r="Y867"/>
      <c r="Z867"/>
    </row>
    <row r="868" spans="19:26" ht="15" customHeight="1" x14ac:dyDescent="0.25">
      <c r="S868"/>
      <c r="T868"/>
      <c r="U868"/>
      <c r="V868"/>
      <c r="W868"/>
      <c r="X868"/>
      <c r="Y868"/>
      <c r="Z868"/>
    </row>
    <row r="869" spans="19:26" ht="15" customHeight="1" x14ac:dyDescent="0.25">
      <c r="S869"/>
      <c r="T869"/>
      <c r="U869"/>
      <c r="V869"/>
      <c r="W869"/>
      <c r="X869"/>
      <c r="Y869"/>
      <c r="Z869"/>
    </row>
    <row r="870" spans="19:26" ht="15" customHeight="1" x14ac:dyDescent="0.25">
      <c r="S870"/>
      <c r="T870"/>
      <c r="U870"/>
      <c r="V870"/>
      <c r="W870"/>
      <c r="X870"/>
      <c r="Y870"/>
      <c r="Z870"/>
    </row>
    <row r="871" spans="19:26" ht="15" customHeight="1" x14ac:dyDescent="0.25">
      <c r="S871"/>
      <c r="T871"/>
      <c r="U871"/>
      <c r="V871"/>
      <c r="W871"/>
      <c r="X871"/>
      <c r="Y871"/>
      <c r="Z871"/>
    </row>
    <row r="872" spans="19:26" ht="15" customHeight="1" x14ac:dyDescent="0.25">
      <c r="S872"/>
      <c r="T872"/>
      <c r="U872"/>
      <c r="V872"/>
      <c r="W872"/>
      <c r="X872"/>
      <c r="Y872"/>
      <c r="Z872"/>
    </row>
    <row r="873" spans="19:26" ht="15" customHeight="1" x14ac:dyDescent="0.25">
      <c r="S873"/>
      <c r="T873"/>
      <c r="U873"/>
      <c r="V873"/>
      <c r="W873"/>
      <c r="X873"/>
      <c r="Y873"/>
      <c r="Z873"/>
    </row>
    <row r="874" spans="19:26" ht="15" customHeight="1" x14ac:dyDescent="0.25">
      <c r="S874"/>
      <c r="T874"/>
      <c r="U874"/>
      <c r="V874"/>
      <c r="W874"/>
      <c r="X874"/>
      <c r="Y874"/>
      <c r="Z874"/>
    </row>
    <row r="875" spans="19:26" ht="15" customHeight="1" x14ac:dyDescent="0.25">
      <c r="S875"/>
      <c r="T875"/>
      <c r="U875"/>
      <c r="V875"/>
      <c r="W875"/>
      <c r="X875"/>
      <c r="Y875"/>
      <c r="Z875"/>
    </row>
    <row r="876" spans="19:26" ht="15" customHeight="1" x14ac:dyDescent="0.25">
      <c r="S876"/>
      <c r="T876"/>
      <c r="U876"/>
      <c r="V876"/>
      <c r="W876"/>
      <c r="X876"/>
      <c r="Y876"/>
      <c r="Z876"/>
    </row>
    <row r="877" spans="19:26" ht="15" customHeight="1" x14ac:dyDescent="0.25">
      <c r="S877"/>
      <c r="T877"/>
      <c r="U877"/>
      <c r="V877"/>
      <c r="W877"/>
      <c r="X877"/>
      <c r="Y877"/>
      <c r="Z877"/>
    </row>
    <row r="878" spans="19:26" ht="15" customHeight="1" x14ac:dyDescent="0.25">
      <c r="S878"/>
      <c r="T878"/>
      <c r="U878"/>
      <c r="V878"/>
      <c r="W878"/>
      <c r="X878"/>
      <c r="Y878"/>
      <c r="Z878"/>
    </row>
    <row r="879" spans="19:26" ht="15" customHeight="1" x14ac:dyDescent="0.25">
      <c r="S879"/>
      <c r="T879"/>
      <c r="U879"/>
      <c r="V879"/>
      <c r="W879"/>
      <c r="X879"/>
      <c r="Y879"/>
      <c r="Z879"/>
    </row>
    <row r="880" spans="19:26" ht="15" customHeight="1" x14ac:dyDescent="0.25">
      <c r="S880"/>
      <c r="T880"/>
      <c r="U880"/>
      <c r="V880"/>
      <c r="W880"/>
      <c r="X880"/>
      <c r="Y880"/>
      <c r="Z880"/>
    </row>
    <row r="881" spans="19:26" ht="15" customHeight="1" x14ac:dyDescent="0.25">
      <c r="S881"/>
      <c r="T881"/>
      <c r="U881"/>
      <c r="V881"/>
      <c r="W881"/>
      <c r="X881"/>
      <c r="Y881"/>
      <c r="Z881"/>
    </row>
    <row r="882" spans="19:26" ht="15" customHeight="1" x14ac:dyDescent="0.25">
      <c r="S882"/>
      <c r="T882"/>
      <c r="U882"/>
      <c r="V882"/>
      <c r="W882"/>
      <c r="X882"/>
      <c r="Y882"/>
      <c r="Z882"/>
    </row>
    <row r="883" spans="19:26" ht="15" customHeight="1" x14ac:dyDescent="0.25">
      <c r="S883"/>
      <c r="T883"/>
      <c r="U883"/>
      <c r="V883"/>
      <c r="W883"/>
      <c r="X883"/>
      <c r="Y883"/>
      <c r="Z883"/>
    </row>
    <row r="884" spans="19:26" ht="15" customHeight="1" x14ac:dyDescent="0.25">
      <c r="S884"/>
      <c r="T884"/>
      <c r="U884"/>
      <c r="V884"/>
      <c r="W884"/>
      <c r="X884"/>
      <c r="Y884"/>
      <c r="Z884"/>
    </row>
    <row r="885" spans="19:26" ht="15" customHeight="1" x14ac:dyDescent="0.25">
      <c r="S885"/>
      <c r="T885"/>
      <c r="U885"/>
      <c r="V885"/>
      <c r="W885"/>
      <c r="X885"/>
      <c r="Y885"/>
      <c r="Z885"/>
    </row>
    <row r="886" spans="19:26" ht="15" customHeight="1" x14ac:dyDescent="0.25">
      <c r="S886"/>
      <c r="T886"/>
      <c r="U886"/>
      <c r="V886"/>
      <c r="W886"/>
      <c r="X886"/>
      <c r="Y886"/>
      <c r="Z886"/>
    </row>
    <row r="887" spans="19:26" ht="15" customHeight="1" x14ac:dyDescent="0.25">
      <c r="S887"/>
      <c r="T887"/>
      <c r="U887"/>
      <c r="V887"/>
      <c r="W887"/>
      <c r="X887"/>
      <c r="Y887"/>
      <c r="Z887"/>
    </row>
    <row r="888" spans="19:26" ht="15" customHeight="1" x14ac:dyDescent="0.25">
      <c r="S888"/>
      <c r="T888"/>
      <c r="U888"/>
      <c r="V888"/>
      <c r="W888"/>
      <c r="X888"/>
      <c r="Y888"/>
      <c r="Z888"/>
    </row>
    <row r="889" spans="19:26" ht="15" customHeight="1" x14ac:dyDescent="0.25">
      <c r="S889"/>
      <c r="T889"/>
      <c r="U889"/>
      <c r="V889"/>
      <c r="W889"/>
      <c r="X889"/>
      <c r="Y889"/>
      <c r="Z889"/>
    </row>
    <row r="890" spans="19:26" ht="15" customHeight="1" x14ac:dyDescent="0.25">
      <c r="S890"/>
      <c r="T890"/>
      <c r="U890"/>
      <c r="V890"/>
      <c r="W890"/>
      <c r="X890"/>
      <c r="Y890"/>
      <c r="Z890"/>
    </row>
    <row r="891" spans="19:26" ht="15" customHeight="1" x14ac:dyDescent="0.25">
      <c r="S891"/>
      <c r="T891"/>
      <c r="U891"/>
      <c r="V891"/>
      <c r="W891"/>
      <c r="X891"/>
      <c r="Y891"/>
      <c r="Z891"/>
    </row>
    <row r="892" spans="19:26" ht="15" customHeight="1" x14ac:dyDescent="0.25">
      <c r="S892"/>
      <c r="T892"/>
      <c r="U892"/>
      <c r="V892"/>
      <c r="W892"/>
      <c r="X892"/>
      <c r="Y892"/>
      <c r="Z892"/>
    </row>
    <row r="893" spans="19:26" ht="15" customHeight="1" x14ac:dyDescent="0.25">
      <c r="S893"/>
      <c r="T893"/>
      <c r="U893"/>
      <c r="V893"/>
      <c r="W893"/>
      <c r="X893"/>
      <c r="Y893"/>
      <c r="Z893"/>
    </row>
    <row r="894" spans="19:26" ht="15" customHeight="1" x14ac:dyDescent="0.25">
      <c r="S894"/>
      <c r="T894"/>
      <c r="U894"/>
      <c r="V894"/>
      <c r="W894"/>
      <c r="X894"/>
      <c r="Y894"/>
      <c r="Z894"/>
    </row>
    <row r="895" spans="19:26" ht="15" customHeight="1" x14ac:dyDescent="0.25">
      <c r="S895"/>
      <c r="T895"/>
      <c r="U895"/>
      <c r="V895"/>
      <c r="W895"/>
      <c r="X895"/>
      <c r="Y895"/>
      <c r="Z895"/>
    </row>
    <row r="896" spans="19:26" ht="15" customHeight="1" x14ac:dyDescent="0.25">
      <c r="S896"/>
      <c r="T896"/>
      <c r="U896"/>
      <c r="V896"/>
      <c r="W896"/>
      <c r="X896"/>
      <c r="Y896"/>
      <c r="Z896"/>
    </row>
    <row r="897" spans="19:26" ht="15" customHeight="1" x14ac:dyDescent="0.25">
      <c r="S897"/>
      <c r="T897"/>
      <c r="U897"/>
      <c r="V897"/>
      <c r="W897"/>
      <c r="X897"/>
      <c r="Y897"/>
      <c r="Z897"/>
    </row>
    <row r="898" spans="19:26" ht="15" customHeight="1" x14ac:dyDescent="0.25">
      <c r="S898"/>
      <c r="T898"/>
      <c r="U898"/>
      <c r="V898"/>
      <c r="W898"/>
      <c r="X898"/>
      <c r="Y898"/>
      <c r="Z898"/>
    </row>
    <row r="899" spans="19:26" ht="15" customHeight="1" x14ac:dyDescent="0.25">
      <c r="S899"/>
      <c r="T899"/>
      <c r="U899"/>
      <c r="V899"/>
      <c r="W899"/>
      <c r="X899"/>
      <c r="Y899"/>
      <c r="Z899"/>
    </row>
    <row r="900" spans="19:26" ht="15" customHeight="1" x14ac:dyDescent="0.25">
      <c r="S900"/>
      <c r="T900"/>
      <c r="U900"/>
      <c r="V900"/>
      <c r="W900"/>
      <c r="X900"/>
      <c r="Y900"/>
      <c r="Z900"/>
    </row>
    <row r="901" spans="19:26" ht="15" customHeight="1" x14ac:dyDescent="0.25">
      <c r="S901"/>
      <c r="T901"/>
      <c r="U901"/>
      <c r="V901"/>
      <c r="W901"/>
      <c r="X901"/>
      <c r="Y901"/>
      <c r="Z901"/>
    </row>
    <row r="902" spans="19:26" ht="15" customHeight="1" x14ac:dyDescent="0.25">
      <c r="S902"/>
      <c r="T902"/>
      <c r="U902"/>
      <c r="V902"/>
      <c r="W902"/>
      <c r="X902"/>
      <c r="Y902"/>
      <c r="Z902"/>
    </row>
    <row r="903" spans="19:26" ht="15" customHeight="1" x14ac:dyDescent="0.25">
      <c r="S903"/>
      <c r="T903"/>
      <c r="U903"/>
      <c r="V903"/>
      <c r="W903"/>
      <c r="X903"/>
      <c r="Y903"/>
      <c r="Z903"/>
    </row>
    <row r="904" spans="19:26" ht="15" customHeight="1" x14ac:dyDescent="0.25">
      <c r="S904"/>
      <c r="T904"/>
      <c r="U904"/>
      <c r="V904"/>
      <c r="W904"/>
      <c r="X904"/>
      <c r="Y904"/>
      <c r="Z904"/>
    </row>
    <row r="905" spans="19:26" ht="15" customHeight="1" x14ac:dyDescent="0.25">
      <c r="S905"/>
      <c r="T905"/>
      <c r="U905"/>
      <c r="V905"/>
      <c r="W905"/>
      <c r="X905"/>
      <c r="Y905"/>
      <c r="Z905"/>
    </row>
    <row r="906" spans="19:26" ht="15" customHeight="1" x14ac:dyDescent="0.25">
      <c r="S906"/>
      <c r="T906"/>
      <c r="U906"/>
      <c r="V906"/>
      <c r="W906"/>
      <c r="X906"/>
      <c r="Y906"/>
      <c r="Z906"/>
    </row>
    <row r="907" spans="19:26" ht="15" customHeight="1" x14ac:dyDescent="0.25">
      <c r="S907"/>
      <c r="T907"/>
      <c r="U907"/>
      <c r="V907"/>
      <c r="W907"/>
      <c r="X907"/>
      <c r="Y907"/>
      <c r="Z907"/>
    </row>
    <row r="908" spans="19:26" ht="15" customHeight="1" x14ac:dyDescent="0.25">
      <c r="S908"/>
      <c r="T908"/>
      <c r="U908"/>
      <c r="V908"/>
      <c r="W908"/>
      <c r="X908"/>
      <c r="Y908"/>
      <c r="Z908"/>
    </row>
    <row r="909" spans="19:26" ht="15" customHeight="1" x14ac:dyDescent="0.25">
      <c r="S909"/>
      <c r="T909"/>
      <c r="U909"/>
      <c r="V909"/>
      <c r="W909"/>
      <c r="X909"/>
      <c r="Y909"/>
      <c r="Z909"/>
    </row>
    <row r="910" spans="19:26" ht="15" customHeight="1" x14ac:dyDescent="0.25">
      <c r="S910"/>
      <c r="T910"/>
      <c r="U910"/>
      <c r="V910"/>
      <c r="W910"/>
      <c r="X910"/>
      <c r="Y910"/>
      <c r="Z910"/>
    </row>
    <row r="911" spans="19:26" ht="15" customHeight="1" x14ac:dyDescent="0.25">
      <c r="S911"/>
      <c r="T911"/>
      <c r="U911"/>
      <c r="V911"/>
      <c r="W911"/>
      <c r="X911"/>
      <c r="Y911"/>
      <c r="Z911"/>
    </row>
    <row r="912" spans="19:26" ht="15" customHeight="1" x14ac:dyDescent="0.25">
      <c r="S912"/>
      <c r="T912"/>
      <c r="U912"/>
      <c r="V912"/>
      <c r="W912"/>
      <c r="X912"/>
      <c r="Y912"/>
      <c r="Z912"/>
    </row>
    <row r="913" spans="19:26" ht="15" customHeight="1" x14ac:dyDescent="0.25">
      <c r="S913"/>
      <c r="T913"/>
      <c r="U913"/>
      <c r="V913"/>
      <c r="W913"/>
      <c r="X913"/>
      <c r="Y913"/>
      <c r="Z913"/>
    </row>
    <row r="914" spans="19:26" ht="15" customHeight="1" x14ac:dyDescent="0.25">
      <c r="S914"/>
      <c r="T914"/>
      <c r="U914"/>
      <c r="V914"/>
      <c r="W914"/>
      <c r="X914"/>
      <c r="Y914"/>
      <c r="Z914"/>
    </row>
    <row r="915" spans="19:26" ht="15" customHeight="1" x14ac:dyDescent="0.25">
      <c r="S915"/>
      <c r="T915"/>
      <c r="U915"/>
      <c r="V915"/>
      <c r="W915"/>
      <c r="X915"/>
      <c r="Y915"/>
      <c r="Z915"/>
    </row>
    <row r="916" spans="19:26" ht="15" customHeight="1" x14ac:dyDescent="0.25">
      <c r="S916"/>
      <c r="T916"/>
      <c r="U916"/>
      <c r="V916"/>
      <c r="W916"/>
      <c r="X916"/>
      <c r="Y916"/>
      <c r="Z916"/>
    </row>
    <row r="917" spans="19:26" ht="15" customHeight="1" x14ac:dyDescent="0.25">
      <c r="S917"/>
      <c r="T917"/>
      <c r="U917"/>
      <c r="V917"/>
      <c r="W917"/>
      <c r="X917"/>
      <c r="Y917"/>
      <c r="Z917"/>
    </row>
    <row r="918" spans="19:26" ht="15" customHeight="1" x14ac:dyDescent="0.25">
      <c r="S918"/>
      <c r="T918"/>
      <c r="U918"/>
      <c r="V918"/>
      <c r="W918"/>
      <c r="X918"/>
      <c r="Y918"/>
      <c r="Z918"/>
    </row>
    <row r="919" spans="19:26" ht="15" customHeight="1" x14ac:dyDescent="0.25">
      <c r="S919"/>
      <c r="T919"/>
      <c r="U919"/>
      <c r="V919"/>
      <c r="W919"/>
      <c r="X919"/>
      <c r="Y919"/>
      <c r="Z919"/>
    </row>
    <row r="920" spans="19:26" ht="15" customHeight="1" x14ac:dyDescent="0.25">
      <c r="S920"/>
      <c r="T920"/>
      <c r="U920"/>
      <c r="V920"/>
      <c r="W920"/>
      <c r="X920"/>
      <c r="Y920"/>
      <c r="Z920"/>
    </row>
    <row r="921" spans="19:26" ht="15" customHeight="1" x14ac:dyDescent="0.25">
      <c r="S921"/>
      <c r="T921"/>
      <c r="U921"/>
      <c r="V921"/>
      <c r="W921"/>
      <c r="X921"/>
      <c r="Y921"/>
      <c r="Z921"/>
    </row>
    <row r="922" spans="19:26" ht="15" customHeight="1" x14ac:dyDescent="0.25">
      <c r="S922"/>
      <c r="T922"/>
      <c r="U922"/>
      <c r="V922"/>
      <c r="W922"/>
      <c r="X922"/>
      <c r="Y922"/>
      <c r="Z922"/>
    </row>
    <row r="923" spans="19:26" ht="15" customHeight="1" x14ac:dyDescent="0.25">
      <c r="S923"/>
      <c r="T923"/>
      <c r="U923"/>
      <c r="V923"/>
      <c r="W923"/>
      <c r="X923"/>
      <c r="Y923"/>
      <c r="Z923"/>
    </row>
    <row r="924" spans="19:26" ht="15" customHeight="1" x14ac:dyDescent="0.25">
      <c r="S924"/>
      <c r="T924"/>
      <c r="U924"/>
      <c r="V924"/>
      <c r="W924"/>
      <c r="X924"/>
      <c r="Y924"/>
      <c r="Z924"/>
    </row>
    <row r="925" spans="19:26" ht="15" customHeight="1" x14ac:dyDescent="0.25">
      <c r="S925"/>
      <c r="T925"/>
      <c r="U925"/>
      <c r="V925"/>
      <c r="W925"/>
      <c r="X925"/>
      <c r="Y925"/>
      <c r="Z925"/>
    </row>
    <row r="926" spans="19:26" ht="15" customHeight="1" x14ac:dyDescent="0.25">
      <c r="S926"/>
      <c r="T926"/>
      <c r="U926"/>
      <c r="V926"/>
      <c r="W926"/>
      <c r="X926"/>
      <c r="Y926"/>
      <c r="Z926"/>
    </row>
    <row r="927" spans="19:26" ht="15" customHeight="1" x14ac:dyDescent="0.25">
      <c r="S927"/>
      <c r="T927"/>
      <c r="U927"/>
      <c r="V927"/>
      <c r="W927"/>
      <c r="X927"/>
      <c r="Y927"/>
      <c r="Z927"/>
    </row>
    <row r="928" spans="19:26" ht="15" customHeight="1" x14ac:dyDescent="0.25">
      <c r="S928"/>
      <c r="T928"/>
      <c r="U928"/>
      <c r="V928"/>
      <c r="W928"/>
      <c r="X928"/>
      <c r="Y928"/>
      <c r="Z928"/>
    </row>
    <row r="929" spans="19:26" ht="15" customHeight="1" x14ac:dyDescent="0.25">
      <c r="S929"/>
      <c r="T929"/>
      <c r="U929"/>
      <c r="V929"/>
      <c r="W929"/>
      <c r="X929"/>
      <c r="Y929"/>
      <c r="Z929"/>
    </row>
    <row r="930" spans="19:26" ht="15" customHeight="1" x14ac:dyDescent="0.25">
      <c r="S930"/>
      <c r="T930"/>
      <c r="U930"/>
      <c r="V930"/>
      <c r="W930"/>
      <c r="X930"/>
      <c r="Y930"/>
      <c r="Z930"/>
    </row>
    <row r="931" spans="19:26" ht="15" customHeight="1" x14ac:dyDescent="0.25">
      <c r="S931"/>
      <c r="T931"/>
      <c r="U931"/>
      <c r="V931"/>
      <c r="W931"/>
      <c r="X931"/>
      <c r="Y931"/>
      <c r="Z931"/>
    </row>
    <row r="932" spans="19:26" ht="15" customHeight="1" x14ac:dyDescent="0.25">
      <c r="S932"/>
      <c r="T932"/>
      <c r="U932"/>
      <c r="V932"/>
      <c r="W932"/>
      <c r="X932"/>
      <c r="Y932"/>
      <c r="Z932"/>
    </row>
    <row r="933" spans="19:26" ht="15" customHeight="1" x14ac:dyDescent="0.25">
      <c r="S933"/>
      <c r="T933"/>
      <c r="U933"/>
      <c r="V933"/>
      <c r="W933"/>
      <c r="X933"/>
      <c r="Y933"/>
      <c r="Z933"/>
    </row>
    <row r="934" spans="19:26" ht="15" customHeight="1" x14ac:dyDescent="0.25">
      <c r="S934"/>
      <c r="T934"/>
      <c r="U934"/>
      <c r="V934"/>
      <c r="W934"/>
      <c r="X934"/>
      <c r="Y934"/>
      <c r="Z934"/>
    </row>
    <row r="935" spans="19:26" ht="15" customHeight="1" x14ac:dyDescent="0.25">
      <c r="S935"/>
      <c r="T935"/>
      <c r="U935"/>
      <c r="V935"/>
      <c r="W935"/>
      <c r="X935"/>
      <c r="Y935"/>
      <c r="Z935"/>
    </row>
    <row r="936" spans="19:26" ht="15" customHeight="1" x14ac:dyDescent="0.25">
      <c r="S936"/>
      <c r="T936"/>
      <c r="U936"/>
      <c r="V936"/>
      <c r="W936"/>
      <c r="X936"/>
      <c r="Y936"/>
      <c r="Z936"/>
    </row>
    <row r="937" spans="19:26" ht="15" customHeight="1" x14ac:dyDescent="0.25">
      <c r="S937"/>
      <c r="T937"/>
      <c r="U937"/>
      <c r="V937"/>
      <c r="W937"/>
      <c r="X937"/>
      <c r="Y937"/>
      <c r="Z937"/>
    </row>
    <row r="938" spans="19:26" ht="15" customHeight="1" x14ac:dyDescent="0.25">
      <c r="S938"/>
      <c r="T938"/>
      <c r="U938"/>
      <c r="V938"/>
      <c r="W938"/>
      <c r="X938"/>
      <c r="Y938"/>
      <c r="Z938"/>
    </row>
    <row r="939" spans="19:26" ht="15" customHeight="1" x14ac:dyDescent="0.25">
      <c r="S939"/>
      <c r="T939"/>
      <c r="U939"/>
      <c r="V939"/>
      <c r="W939"/>
      <c r="X939"/>
      <c r="Y939"/>
      <c r="Z939"/>
    </row>
    <row r="940" spans="19:26" ht="15" customHeight="1" x14ac:dyDescent="0.25">
      <c r="S940"/>
      <c r="T940"/>
      <c r="U940"/>
      <c r="V940"/>
      <c r="W940"/>
      <c r="X940"/>
      <c r="Y940"/>
      <c r="Z940"/>
    </row>
    <row r="941" spans="19:26" ht="15" customHeight="1" x14ac:dyDescent="0.25">
      <c r="S941"/>
      <c r="T941"/>
      <c r="U941"/>
      <c r="V941"/>
      <c r="W941"/>
      <c r="X941"/>
      <c r="Y941"/>
      <c r="Z941"/>
    </row>
    <row r="942" spans="19:26" ht="15" customHeight="1" x14ac:dyDescent="0.25">
      <c r="S942"/>
      <c r="T942"/>
      <c r="U942"/>
      <c r="V942"/>
      <c r="W942"/>
      <c r="X942"/>
      <c r="Y942"/>
      <c r="Z942"/>
    </row>
    <row r="943" spans="19:26" ht="15" customHeight="1" x14ac:dyDescent="0.25">
      <c r="S943"/>
      <c r="T943"/>
      <c r="U943"/>
      <c r="V943"/>
      <c r="W943"/>
      <c r="X943"/>
      <c r="Y943"/>
      <c r="Z943"/>
    </row>
    <row r="944" spans="19:26" ht="15" customHeight="1" x14ac:dyDescent="0.25">
      <c r="S944"/>
      <c r="T944"/>
      <c r="U944"/>
      <c r="V944"/>
      <c r="W944"/>
      <c r="X944"/>
      <c r="Y944"/>
      <c r="Z944"/>
    </row>
    <row r="945" spans="19:26" ht="15" customHeight="1" x14ac:dyDescent="0.25">
      <c r="S945"/>
      <c r="T945"/>
      <c r="U945"/>
      <c r="V945"/>
      <c r="W945"/>
      <c r="X945"/>
      <c r="Y945"/>
      <c r="Z945"/>
    </row>
    <row r="946" spans="19:26" ht="15" customHeight="1" x14ac:dyDescent="0.25">
      <c r="S946"/>
      <c r="T946"/>
      <c r="U946"/>
      <c r="V946"/>
      <c r="W946"/>
      <c r="X946"/>
      <c r="Y946"/>
      <c r="Z946"/>
    </row>
    <row r="947" spans="19:26" ht="15" customHeight="1" x14ac:dyDescent="0.25">
      <c r="S947"/>
      <c r="T947"/>
      <c r="U947"/>
      <c r="V947"/>
      <c r="W947"/>
      <c r="X947"/>
      <c r="Y947"/>
      <c r="Z947"/>
    </row>
    <row r="948" spans="19:26" ht="15" customHeight="1" x14ac:dyDescent="0.25">
      <c r="S948"/>
      <c r="T948"/>
      <c r="U948"/>
      <c r="V948"/>
      <c r="W948"/>
      <c r="X948"/>
      <c r="Y948"/>
      <c r="Z948"/>
    </row>
    <row r="949" spans="19:26" ht="15" customHeight="1" x14ac:dyDescent="0.25">
      <c r="S949"/>
      <c r="T949"/>
      <c r="U949"/>
      <c r="V949"/>
      <c r="W949"/>
      <c r="X949"/>
      <c r="Y949"/>
      <c r="Z949"/>
    </row>
    <row r="950" spans="19:26" ht="15" customHeight="1" x14ac:dyDescent="0.25">
      <c r="S950"/>
      <c r="T950"/>
      <c r="U950"/>
      <c r="V950"/>
      <c r="W950"/>
      <c r="X950"/>
      <c r="Y950"/>
      <c r="Z950"/>
    </row>
    <row r="951" spans="19:26" ht="15" customHeight="1" x14ac:dyDescent="0.25">
      <c r="S951"/>
      <c r="T951"/>
      <c r="U951"/>
      <c r="V951"/>
      <c r="W951"/>
      <c r="X951"/>
      <c r="Y951"/>
      <c r="Z951"/>
    </row>
    <row r="952" spans="19:26" ht="15" customHeight="1" x14ac:dyDescent="0.25">
      <c r="S952"/>
      <c r="T952"/>
      <c r="U952"/>
      <c r="V952"/>
      <c r="W952"/>
      <c r="X952"/>
      <c r="Y952"/>
      <c r="Z952"/>
    </row>
    <row r="953" spans="19:26" ht="15" customHeight="1" x14ac:dyDescent="0.25">
      <c r="S953"/>
      <c r="T953"/>
      <c r="U953"/>
      <c r="V953"/>
      <c r="W953"/>
      <c r="X953"/>
      <c r="Y953"/>
      <c r="Z953"/>
    </row>
    <row r="954" spans="19:26" ht="15" customHeight="1" x14ac:dyDescent="0.25">
      <c r="S954"/>
      <c r="T954"/>
      <c r="U954"/>
      <c r="V954"/>
      <c r="W954"/>
      <c r="X954"/>
      <c r="Y954"/>
      <c r="Z954"/>
    </row>
    <row r="955" spans="19:26" ht="15" customHeight="1" x14ac:dyDescent="0.25">
      <c r="S955"/>
      <c r="T955"/>
      <c r="U955"/>
      <c r="V955"/>
      <c r="W955"/>
      <c r="X955"/>
      <c r="Y955"/>
      <c r="Z955"/>
    </row>
    <row r="956" spans="19:26" ht="15" customHeight="1" x14ac:dyDescent="0.25">
      <c r="S956"/>
      <c r="T956"/>
      <c r="U956"/>
      <c r="V956"/>
      <c r="W956"/>
      <c r="X956"/>
      <c r="Y956"/>
      <c r="Z956"/>
    </row>
    <row r="957" spans="19:26" ht="15" customHeight="1" x14ac:dyDescent="0.25">
      <c r="S957"/>
      <c r="T957"/>
      <c r="U957"/>
      <c r="V957"/>
      <c r="W957"/>
      <c r="X957"/>
      <c r="Y957"/>
      <c r="Z957"/>
    </row>
    <row r="958" spans="19:26" ht="15" customHeight="1" x14ac:dyDescent="0.25">
      <c r="S958"/>
      <c r="T958"/>
      <c r="U958"/>
      <c r="V958"/>
      <c r="W958"/>
      <c r="X958"/>
      <c r="Y958"/>
      <c r="Z958"/>
    </row>
    <row r="959" spans="19:26" ht="15" customHeight="1" x14ac:dyDescent="0.25">
      <c r="S959"/>
      <c r="T959"/>
      <c r="U959"/>
      <c r="V959"/>
      <c r="W959"/>
      <c r="X959"/>
      <c r="Y959"/>
      <c r="Z959"/>
    </row>
    <row r="960" spans="19:26" ht="15" customHeight="1" x14ac:dyDescent="0.25">
      <c r="S960"/>
      <c r="T960"/>
      <c r="U960"/>
      <c r="V960"/>
      <c r="W960"/>
      <c r="X960"/>
      <c r="Y960"/>
      <c r="Z960"/>
    </row>
    <row r="961" spans="19:26" ht="15" customHeight="1" x14ac:dyDescent="0.25">
      <c r="S961"/>
      <c r="T961"/>
      <c r="U961"/>
      <c r="V961"/>
      <c r="W961"/>
      <c r="X961"/>
      <c r="Y961"/>
      <c r="Z961"/>
    </row>
    <row r="962" spans="19:26" ht="15" customHeight="1" x14ac:dyDescent="0.25">
      <c r="S962"/>
      <c r="T962"/>
      <c r="U962"/>
      <c r="V962"/>
      <c r="W962"/>
      <c r="X962"/>
      <c r="Y962"/>
      <c r="Z962"/>
    </row>
    <row r="963" spans="19:26" ht="15" customHeight="1" x14ac:dyDescent="0.25">
      <c r="S963"/>
      <c r="T963"/>
      <c r="U963"/>
      <c r="V963"/>
      <c r="W963"/>
      <c r="X963"/>
      <c r="Y963"/>
      <c r="Z963"/>
    </row>
    <row r="964" spans="19:26" ht="15" customHeight="1" x14ac:dyDescent="0.25">
      <c r="S964"/>
      <c r="T964"/>
      <c r="U964"/>
      <c r="V964"/>
      <c r="W964"/>
      <c r="X964"/>
      <c r="Y964"/>
      <c r="Z964"/>
    </row>
    <row r="965" spans="19:26" ht="15" customHeight="1" x14ac:dyDescent="0.25">
      <c r="S965"/>
      <c r="T965"/>
      <c r="U965"/>
      <c r="V965"/>
      <c r="W965"/>
      <c r="X965"/>
      <c r="Y965"/>
      <c r="Z965"/>
    </row>
    <row r="966" spans="19:26" ht="15" customHeight="1" x14ac:dyDescent="0.25">
      <c r="S966"/>
      <c r="T966"/>
      <c r="U966"/>
      <c r="V966"/>
      <c r="W966"/>
      <c r="X966"/>
      <c r="Y966"/>
      <c r="Z966"/>
    </row>
    <row r="967" spans="19:26" ht="15" customHeight="1" x14ac:dyDescent="0.25">
      <c r="S967"/>
      <c r="T967"/>
      <c r="U967"/>
      <c r="V967"/>
      <c r="W967"/>
      <c r="X967"/>
      <c r="Y967"/>
      <c r="Z967"/>
    </row>
    <row r="968" spans="19:26" ht="15" customHeight="1" x14ac:dyDescent="0.25">
      <c r="S968"/>
      <c r="T968"/>
      <c r="U968"/>
      <c r="V968"/>
      <c r="W968"/>
      <c r="X968"/>
      <c r="Y968"/>
      <c r="Z968"/>
    </row>
    <row r="969" spans="19:26" ht="15" customHeight="1" x14ac:dyDescent="0.25">
      <c r="S969"/>
      <c r="T969"/>
      <c r="U969"/>
      <c r="V969"/>
      <c r="W969"/>
      <c r="X969"/>
      <c r="Y969"/>
      <c r="Z969"/>
    </row>
    <row r="970" spans="19:26" ht="15" customHeight="1" x14ac:dyDescent="0.25">
      <c r="S970"/>
      <c r="T970"/>
      <c r="U970"/>
      <c r="V970"/>
      <c r="W970"/>
      <c r="X970"/>
      <c r="Y970"/>
      <c r="Z970"/>
    </row>
    <row r="971" spans="19:26" ht="15" customHeight="1" x14ac:dyDescent="0.25">
      <c r="S971"/>
      <c r="T971"/>
      <c r="U971"/>
      <c r="V971"/>
      <c r="W971"/>
      <c r="X971"/>
      <c r="Y971"/>
      <c r="Z971"/>
    </row>
    <row r="972" spans="19:26" ht="15" customHeight="1" x14ac:dyDescent="0.25">
      <c r="S972"/>
      <c r="T972"/>
      <c r="U972"/>
      <c r="V972"/>
      <c r="W972"/>
      <c r="X972"/>
      <c r="Y972"/>
      <c r="Z972"/>
    </row>
    <row r="973" spans="19:26" ht="15" customHeight="1" x14ac:dyDescent="0.25">
      <c r="S973"/>
      <c r="T973"/>
      <c r="U973"/>
      <c r="V973"/>
      <c r="W973"/>
      <c r="X973"/>
      <c r="Y973"/>
      <c r="Z973"/>
    </row>
    <row r="974" spans="19:26" ht="15" customHeight="1" x14ac:dyDescent="0.25">
      <c r="S974"/>
      <c r="T974"/>
      <c r="U974"/>
      <c r="V974"/>
      <c r="W974"/>
      <c r="X974"/>
      <c r="Y974"/>
      <c r="Z974"/>
    </row>
    <row r="975" spans="19:26" ht="15" customHeight="1" x14ac:dyDescent="0.25">
      <c r="S975"/>
      <c r="T975"/>
      <c r="U975"/>
      <c r="V975"/>
      <c r="W975"/>
      <c r="X975"/>
      <c r="Y975"/>
      <c r="Z975"/>
    </row>
    <row r="976" spans="19:26" ht="15" customHeight="1" x14ac:dyDescent="0.25">
      <c r="S976"/>
      <c r="T976"/>
      <c r="U976"/>
      <c r="V976"/>
      <c r="W976"/>
      <c r="X976"/>
      <c r="Y976"/>
      <c r="Z976"/>
    </row>
    <row r="977" spans="19:26" ht="15" customHeight="1" x14ac:dyDescent="0.25">
      <c r="S977"/>
      <c r="T977"/>
      <c r="U977"/>
      <c r="V977"/>
      <c r="W977"/>
      <c r="X977"/>
      <c r="Y977"/>
      <c r="Z977"/>
    </row>
    <row r="978" spans="19:26" ht="15" customHeight="1" x14ac:dyDescent="0.25">
      <c r="S978"/>
      <c r="T978"/>
      <c r="U978"/>
      <c r="V978"/>
      <c r="W978"/>
      <c r="X978"/>
      <c r="Y978"/>
      <c r="Z978"/>
    </row>
    <row r="979" spans="19:26" ht="15" customHeight="1" x14ac:dyDescent="0.25">
      <c r="S979"/>
      <c r="T979"/>
      <c r="U979"/>
      <c r="V979"/>
      <c r="W979"/>
      <c r="X979"/>
      <c r="Y979"/>
      <c r="Z979"/>
    </row>
    <row r="980" spans="19:26" ht="15" customHeight="1" x14ac:dyDescent="0.25">
      <c r="S980"/>
      <c r="T980"/>
      <c r="U980"/>
      <c r="V980"/>
      <c r="W980"/>
      <c r="X980"/>
      <c r="Y980"/>
      <c r="Z980"/>
    </row>
    <row r="981" spans="19:26" ht="15" customHeight="1" x14ac:dyDescent="0.25">
      <c r="S981"/>
      <c r="T981"/>
      <c r="U981"/>
      <c r="V981"/>
      <c r="W981"/>
      <c r="X981"/>
      <c r="Y981"/>
      <c r="Z981"/>
    </row>
    <row r="982" spans="19:26" ht="15" customHeight="1" x14ac:dyDescent="0.25">
      <c r="S982"/>
      <c r="T982"/>
      <c r="U982"/>
      <c r="V982"/>
      <c r="W982"/>
      <c r="X982"/>
      <c r="Y982"/>
      <c r="Z982"/>
    </row>
    <row r="983" spans="19:26" ht="15" customHeight="1" x14ac:dyDescent="0.25">
      <c r="S983"/>
      <c r="T983"/>
      <c r="U983"/>
      <c r="V983"/>
      <c r="W983"/>
      <c r="X983"/>
      <c r="Y983"/>
      <c r="Z983"/>
    </row>
    <row r="984" spans="19:26" ht="15" customHeight="1" x14ac:dyDescent="0.25">
      <c r="S984"/>
      <c r="T984"/>
      <c r="U984"/>
      <c r="V984"/>
      <c r="W984"/>
      <c r="X984"/>
      <c r="Y984"/>
      <c r="Z984"/>
    </row>
    <row r="985" spans="19:26" ht="15" customHeight="1" x14ac:dyDescent="0.25">
      <c r="S985"/>
      <c r="T985"/>
      <c r="U985"/>
      <c r="V985"/>
      <c r="W985"/>
      <c r="X985"/>
      <c r="Y985"/>
      <c r="Z985"/>
    </row>
    <row r="986" spans="19:26" ht="15" customHeight="1" x14ac:dyDescent="0.25">
      <c r="S986"/>
      <c r="T986"/>
      <c r="U986"/>
      <c r="V986"/>
      <c r="W986"/>
      <c r="X986"/>
      <c r="Y986"/>
      <c r="Z986"/>
    </row>
    <row r="987" spans="19:26" ht="15" customHeight="1" x14ac:dyDescent="0.25">
      <c r="S987"/>
      <c r="T987"/>
      <c r="U987"/>
      <c r="V987"/>
      <c r="W987"/>
      <c r="X987"/>
      <c r="Y987"/>
      <c r="Z987"/>
    </row>
    <row r="988" spans="19:26" ht="15" customHeight="1" x14ac:dyDescent="0.25">
      <c r="S988"/>
      <c r="T988"/>
      <c r="U988"/>
      <c r="V988"/>
      <c r="W988"/>
      <c r="X988"/>
      <c r="Y988"/>
      <c r="Z988"/>
    </row>
    <row r="989" spans="19:26" ht="15" customHeight="1" x14ac:dyDescent="0.25">
      <c r="S989"/>
      <c r="T989"/>
      <c r="U989"/>
      <c r="V989"/>
      <c r="W989"/>
      <c r="X989"/>
      <c r="Y989"/>
      <c r="Z989"/>
    </row>
    <row r="990" spans="19:26" ht="15" customHeight="1" x14ac:dyDescent="0.25">
      <c r="S990"/>
      <c r="T990"/>
      <c r="U990"/>
      <c r="V990"/>
      <c r="W990"/>
      <c r="X990"/>
      <c r="Y990"/>
      <c r="Z990"/>
    </row>
    <row r="991" spans="19:26" ht="15" customHeight="1" x14ac:dyDescent="0.25">
      <c r="S991"/>
      <c r="T991"/>
      <c r="U991"/>
      <c r="V991"/>
      <c r="W991"/>
      <c r="X991"/>
      <c r="Y991"/>
      <c r="Z991"/>
    </row>
    <row r="992" spans="19:26" ht="15" customHeight="1" x14ac:dyDescent="0.25">
      <c r="S992"/>
      <c r="T992"/>
      <c r="U992"/>
      <c r="V992"/>
      <c r="W992"/>
      <c r="X992"/>
      <c r="Y992"/>
      <c r="Z992"/>
    </row>
    <row r="993" spans="19:26" ht="15" customHeight="1" x14ac:dyDescent="0.25">
      <c r="S993"/>
      <c r="T993"/>
      <c r="U993"/>
      <c r="V993"/>
      <c r="W993"/>
      <c r="X993"/>
      <c r="Y993"/>
      <c r="Z993"/>
    </row>
    <row r="994" spans="19:26" ht="15" customHeight="1" x14ac:dyDescent="0.25">
      <c r="S994"/>
      <c r="T994"/>
      <c r="U994"/>
      <c r="V994"/>
      <c r="W994"/>
      <c r="X994"/>
      <c r="Y994"/>
      <c r="Z994"/>
    </row>
    <row r="995" spans="19:26" ht="15" customHeight="1" x14ac:dyDescent="0.25">
      <c r="S995"/>
      <c r="T995"/>
      <c r="U995"/>
      <c r="V995"/>
      <c r="W995"/>
      <c r="X995"/>
      <c r="Y995"/>
      <c r="Z995"/>
    </row>
    <row r="996" spans="19:26" ht="15" customHeight="1" x14ac:dyDescent="0.25">
      <c r="S996"/>
      <c r="T996"/>
      <c r="U996"/>
      <c r="V996"/>
      <c r="W996"/>
      <c r="X996"/>
      <c r="Y996"/>
      <c r="Z996"/>
    </row>
    <row r="997" spans="19:26" ht="15" customHeight="1" x14ac:dyDescent="0.25">
      <c r="S997"/>
      <c r="T997"/>
      <c r="U997"/>
      <c r="V997"/>
      <c r="W997"/>
      <c r="X997"/>
      <c r="Y997"/>
      <c r="Z997"/>
    </row>
    <row r="998" spans="19:26" ht="15" customHeight="1" x14ac:dyDescent="0.25">
      <c r="S998"/>
      <c r="T998"/>
      <c r="U998"/>
      <c r="V998"/>
      <c r="W998"/>
      <c r="X998"/>
      <c r="Y998"/>
      <c r="Z998"/>
    </row>
    <row r="999" spans="19:26" ht="15" customHeight="1" x14ac:dyDescent="0.25">
      <c r="S999"/>
      <c r="T999"/>
      <c r="U999"/>
      <c r="V999"/>
      <c r="W999"/>
      <c r="X999"/>
      <c r="Y999"/>
      <c r="Z999"/>
    </row>
    <row r="1000" spans="19:26" ht="15" customHeight="1" x14ac:dyDescent="0.25">
      <c r="S1000"/>
      <c r="T1000"/>
      <c r="U1000"/>
      <c r="V1000"/>
      <c r="W1000"/>
      <c r="X1000"/>
      <c r="Y1000"/>
      <c r="Z1000"/>
    </row>
    <row r="1001" spans="19:26" ht="15" customHeight="1" x14ac:dyDescent="0.25">
      <c r="S1001"/>
      <c r="T1001"/>
      <c r="U1001"/>
      <c r="V1001"/>
      <c r="W1001"/>
      <c r="X1001"/>
      <c r="Y1001"/>
      <c r="Z1001"/>
    </row>
    <row r="1002" spans="19:26" ht="15" customHeight="1" x14ac:dyDescent="0.25">
      <c r="S1002"/>
      <c r="T1002"/>
      <c r="U1002"/>
      <c r="V1002"/>
      <c r="W1002"/>
      <c r="X1002"/>
      <c r="Y1002"/>
      <c r="Z1002"/>
    </row>
    <row r="1003" spans="19:26" ht="15" customHeight="1" x14ac:dyDescent="0.25">
      <c r="S1003"/>
      <c r="T1003"/>
      <c r="U1003"/>
      <c r="V1003"/>
      <c r="W1003"/>
      <c r="X1003"/>
      <c r="Y1003"/>
      <c r="Z1003"/>
    </row>
    <row r="1004" spans="19:26" ht="15" customHeight="1" x14ac:dyDescent="0.25">
      <c r="S1004"/>
      <c r="T1004"/>
      <c r="U1004"/>
      <c r="V1004"/>
      <c r="W1004"/>
      <c r="X1004"/>
      <c r="Y1004"/>
      <c r="Z1004"/>
    </row>
    <row r="1005" spans="19:26" ht="15" customHeight="1" x14ac:dyDescent="0.25">
      <c r="S1005"/>
      <c r="T1005"/>
      <c r="U1005"/>
      <c r="V1005"/>
      <c r="W1005"/>
      <c r="X1005"/>
      <c r="Y1005"/>
      <c r="Z1005"/>
    </row>
    <row r="1006" spans="19:26" ht="15" customHeight="1" x14ac:dyDescent="0.25">
      <c r="S1006"/>
      <c r="T1006"/>
      <c r="U1006"/>
      <c r="V1006"/>
      <c r="W1006"/>
      <c r="X1006"/>
      <c r="Y1006"/>
      <c r="Z1006"/>
    </row>
    <row r="1007" spans="19:26" ht="15" customHeight="1" x14ac:dyDescent="0.25">
      <c r="S1007"/>
      <c r="T1007"/>
      <c r="U1007"/>
      <c r="V1007"/>
      <c r="W1007"/>
      <c r="X1007"/>
      <c r="Y1007"/>
      <c r="Z1007"/>
    </row>
    <row r="1008" spans="19:26" ht="15" customHeight="1" x14ac:dyDescent="0.25">
      <c r="S1008"/>
      <c r="T1008"/>
      <c r="U1008"/>
      <c r="V1008"/>
      <c r="W1008"/>
      <c r="X1008"/>
      <c r="Y1008"/>
      <c r="Z1008"/>
    </row>
    <row r="1009" spans="19:26" ht="15" customHeight="1" x14ac:dyDescent="0.25">
      <c r="S1009"/>
      <c r="T1009"/>
      <c r="U1009"/>
      <c r="V1009"/>
      <c r="W1009"/>
      <c r="X1009"/>
      <c r="Y1009"/>
      <c r="Z1009"/>
    </row>
    <row r="1010" spans="19:26" ht="15" customHeight="1" x14ac:dyDescent="0.25">
      <c r="S1010"/>
      <c r="T1010"/>
      <c r="U1010"/>
      <c r="V1010"/>
      <c r="W1010"/>
      <c r="X1010"/>
      <c r="Y1010"/>
      <c r="Z1010"/>
    </row>
    <row r="1011" spans="19:26" ht="15" customHeight="1" x14ac:dyDescent="0.25">
      <c r="S1011"/>
      <c r="T1011"/>
      <c r="U1011"/>
      <c r="V1011"/>
      <c r="W1011"/>
      <c r="X1011"/>
      <c r="Y1011"/>
      <c r="Z1011"/>
    </row>
    <row r="1012" spans="19:26" ht="15" customHeight="1" x14ac:dyDescent="0.25">
      <c r="S1012"/>
      <c r="T1012"/>
      <c r="U1012"/>
      <c r="V1012"/>
      <c r="W1012"/>
      <c r="X1012"/>
      <c r="Y1012"/>
      <c r="Z1012"/>
    </row>
    <row r="1013" spans="19:26" ht="15" customHeight="1" x14ac:dyDescent="0.25">
      <c r="S1013"/>
      <c r="T1013"/>
      <c r="U1013"/>
      <c r="V1013"/>
      <c r="W1013"/>
      <c r="X1013"/>
      <c r="Y1013"/>
      <c r="Z1013"/>
    </row>
    <row r="1014" spans="19:26" ht="15" customHeight="1" x14ac:dyDescent="0.25">
      <c r="S1014"/>
      <c r="T1014"/>
      <c r="U1014"/>
      <c r="V1014"/>
      <c r="W1014"/>
      <c r="X1014"/>
      <c r="Y1014"/>
      <c r="Z1014"/>
    </row>
    <row r="1015" spans="19:26" ht="15" customHeight="1" x14ac:dyDescent="0.25">
      <c r="S1015"/>
      <c r="T1015"/>
      <c r="U1015"/>
      <c r="V1015"/>
      <c r="W1015"/>
      <c r="X1015"/>
      <c r="Y1015"/>
      <c r="Z1015"/>
    </row>
    <row r="1016" spans="19:26" ht="15" customHeight="1" x14ac:dyDescent="0.25">
      <c r="S1016"/>
      <c r="T1016"/>
      <c r="U1016"/>
      <c r="V1016"/>
      <c r="W1016"/>
      <c r="X1016"/>
      <c r="Y1016"/>
      <c r="Z1016"/>
    </row>
    <row r="1017" spans="19:26" ht="15" customHeight="1" x14ac:dyDescent="0.25">
      <c r="S1017"/>
      <c r="T1017"/>
      <c r="U1017"/>
      <c r="V1017"/>
      <c r="W1017"/>
      <c r="X1017"/>
      <c r="Y1017"/>
      <c r="Z1017"/>
    </row>
    <row r="1018" spans="19:26" ht="15" customHeight="1" x14ac:dyDescent="0.25">
      <c r="S1018"/>
      <c r="T1018"/>
      <c r="U1018"/>
      <c r="V1018"/>
      <c r="W1018"/>
      <c r="X1018"/>
      <c r="Y1018"/>
      <c r="Z1018"/>
    </row>
    <row r="1019" spans="19:26" ht="15" customHeight="1" x14ac:dyDescent="0.25">
      <c r="S1019"/>
      <c r="T1019"/>
      <c r="U1019"/>
      <c r="V1019"/>
      <c r="W1019"/>
      <c r="X1019"/>
      <c r="Y1019"/>
      <c r="Z1019"/>
    </row>
    <row r="1020" spans="19:26" ht="15" customHeight="1" x14ac:dyDescent="0.25">
      <c r="S1020"/>
      <c r="T1020"/>
      <c r="U1020"/>
      <c r="V1020"/>
      <c r="W1020"/>
      <c r="X1020"/>
      <c r="Y1020"/>
      <c r="Z1020"/>
    </row>
    <row r="1021" spans="19:26" ht="15" customHeight="1" x14ac:dyDescent="0.25">
      <c r="S1021"/>
      <c r="T1021"/>
      <c r="U1021"/>
      <c r="V1021"/>
      <c r="W1021"/>
      <c r="X1021"/>
      <c r="Y1021"/>
      <c r="Z1021"/>
    </row>
    <row r="1022" spans="19:26" ht="15" customHeight="1" x14ac:dyDescent="0.25">
      <c r="S1022"/>
      <c r="T1022"/>
      <c r="U1022"/>
      <c r="V1022"/>
      <c r="W1022"/>
      <c r="X1022"/>
      <c r="Y1022"/>
      <c r="Z1022"/>
    </row>
    <row r="1023" spans="19:26" ht="15" customHeight="1" x14ac:dyDescent="0.25">
      <c r="S1023"/>
      <c r="T1023"/>
      <c r="U1023"/>
      <c r="V1023"/>
      <c r="W1023"/>
      <c r="X1023"/>
      <c r="Y1023"/>
      <c r="Z1023"/>
    </row>
    <row r="1024" spans="19:26" ht="15" customHeight="1" x14ac:dyDescent="0.25">
      <c r="S1024"/>
      <c r="T1024"/>
      <c r="U1024"/>
      <c r="V1024"/>
      <c r="W1024"/>
      <c r="X1024"/>
      <c r="Y1024"/>
      <c r="Z1024"/>
    </row>
    <row r="1025" spans="19:26" ht="15" customHeight="1" x14ac:dyDescent="0.25">
      <c r="S1025"/>
      <c r="T1025"/>
      <c r="U1025"/>
      <c r="V1025"/>
      <c r="W1025"/>
      <c r="X1025"/>
      <c r="Y1025"/>
      <c r="Z1025"/>
    </row>
    <row r="1026" spans="19:26" ht="15" customHeight="1" x14ac:dyDescent="0.25">
      <c r="S1026"/>
      <c r="T1026"/>
      <c r="U1026"/>
      <c r="V1026"/>
      <c r="W1026"/>
      <c r="X1026"/>
      <c r="Y1026"/>
      <c r="Z1026"/>
    </row>
    <row r="1027" spans="19:26" ht="15" customHeight="1" x14ac:dyDescent="0.25">
      <c r="S1027"/>
      <c r="T1027"/>
      <c r="U1027"/>
      <c r="V1027"/>
      <c r="W1027"/>
      <c r="X1027"/>
      <c r="Y1027"/>
      <c r="Z1027"/>
    </row>
    <row r="1028" spans="19:26" ht="15" customHeight="1" x14ac:dyDescent="0.25">
      <c r="S1028"/>
      <c r="T1028"/>
      <c r="U1028"/>
      <c r="V1028"/>
      <c r="W1028"/>
      <c r="X1028"/>
      <c r="Y1028"/>
      <c r="Z1028"/>
    </row>
    <row r="1029" spans="19:26" ht="15" customHeight="1" x14ac:dyDescent="0.25">
      <c r="S1029"/>
      <c r="T1029"/>
      <c r="U1029"/>
      <c r="V1029"/>
      <c r="W1029"/>
      <c r="X1029"/>
      <c r="Y1029"/>
      <c r="Z1029"/>
    </row>
    <row r="1030" spans="19:26" ht="15" customHeight="1" x14ac:dyDescent="0.25">
      <c r="S1030"/>
      <c r="T1030"/>
      <c r="U1030"/>
      <c r="V1030"/>
      <c r="W1030"/>
      <c r="X1030"/>
      <c r="Y1030"/>
      <c r="Z1030"/>
    </row>
    <row r="1031" spans="19:26" ht="15" customHeight="1" x14ac:dyDescent="0.25">
      <c r="S1031"/>
      <c r="T1031"/>
      <c r="U1031"/>
      <c r="V1031"/>
      <c r="W1031"/>
      <c r="X1031"/>
      <c r="Y1031"/>
      <c r="Z1031"/>
    </row>
    <row r="1032" spans="19:26" ht="15" customHeight="1" x14ac:dyDescent="0.25">
      <c r="S1032"/>
      <c r="T1032"/>
      <c r="U1032"/>
      <c r="V1032"/>
      <c r="W1032"/>
      <c r="X1032"/>
      <c r="Y1032"/>
      <c r="Z1032"/>
    </row>
    <row r="1033" spans="19:26" ht="15" customHeight="1" x14ac:dyDescent="0.25">
      <c r="S1033"/>
      <c r="T1033"/>
      <c r="U1033"/>
      <c r="V1033"/>
      <c r="W1033"/>
      <c r="X1033"/>
      <c r="Y1033"/>
      <c r="Z1033"/>
    </row>
    <row r="1034" spans="19:26" ht="15" customHeight="1" x14ac:dyDescent="0.25">
      <c r="S1034"/>
      <c r="T1034"/>
      <c r="U1034"/>
      <c r="V1034"/>
      <c r="W1034"/>
      <c r="X1034"/>
      <c r="Y1034"/>
      <c r="Z1034"/>
    </row>
    <row r="1035" spans="19:26" ht="15" customHeight="1" x14ac:dyDescent="0.25">
      <c r="S1035"/>
      <c r="T1035"/>
      <c r="U1035"/>
      <c r="V1035"/>
      <c r="W1035"/>
      <c r="X1035"/>
      <c r="Y1035"/>
      <c r="Z1035"/>
    </row>
    <row r="1036" spans="19:26" ht="15" customHeight="1" x14ac:dyDescent="0.25">
      <c r="S1036"/>
      <c r="T1036"/>
      <c r="U1036"/>
      <c r="V1036"/>
      <c r="W1036"/>
      <c r="X1036"/>
      <c r="Y1036"/>
      <c r="Z1036"/>
    </row>
    <row r="1037" spans="19:26" ht="15" customHeight="1" x14ac:dyDescent="0.25">
      <c r="S1037"/>
      <c r="T1037"/>
      <c r="U1037"/>
      <c r="V1037"/>
      <c r="W1037"/>
      <c r="X1037"/>
      <c r="Y1037"/>
      <c r="Z1037"/>
    </row>
    <row r="1038" spans="19:26" ht="15" customHeight="1" x14ac:dyDescent="0.25">
      <c r="S1038"/>
      <c r="T1038"/>
      <c r="U1038"/>
      <c r="V1038"/>
      <c r="W1038"/>
      <c r="X1038"/>
      <c r="Y1038"/>
      <c r="Z1038"/>
    </row>
    <row r="1039" spans="19:26" ht="15" customHeight="1" x14ac:dyDescent="0.25">
      <c r="S1039"/>
      <c r="T1039"/>
      <c r="U1039"/>
      <c r="V1039"/>
      <c r="W1039"/>
      <c r="X1039"/>
      <c r="Y1039"/>
      <c r="Z1039"/>
    </row>
    <row r="1040" spans="19:26" ht="15" customHeight="1" x14ac:dyDescent="0.25">
      <c r="S1040"/>
      <c r="T1040"/>
      <c r="U1040"/>
      <c r="V1040"/>
      <c r="W1040"/>
      <c r="X1040"/>
      <c r="Y1040"/>
      <c r="Z1040"/>
    </row>
    <row r="1041" spans="19:26" ht="15" customHeight="1" x14ac:dyDescent="0.25">
      <c r="S1041"/>
      <c r="T1041"/>
      <c r="U1041"/>
      <c r="V1041"/>
      <c r="W1041"/>
      <c r="X1041"/>
      <c r="Y1041"/>
      <c r="Z1041"/>
    </row>
    <row r="1042" spans="19:26" ht="15" customHeight="1" x14ac:dyDescent="0.25">
      <c r="S1042"/>
      <c r="T1042"/>
      <c r="U1042"/>
      <c r="V1042"/>
      <c r="W1042"/>
      <c r="X1042"/>
      <c r="Y1042"/>
      <c r="Z1042"/>
    </row>
    <row r="1043" spans="19:26" ht="15" customHeight="1" x14ac:dyDescent="0.25">
      <c r="S1043"/>
      <c r="T1043"/>
      <c r="U1043"/>
      <c r="V1043"/>
      <c r="W1043"/>
      <c r="X1043"/>
      <c r="Y1043"/>
      <c r="Z1043"/>
    </row>
    <row r="1044" spans="19:26" ht="15" customHeight="1" x14ac:dyDescent="0.25">
      <c r="S1044"/>
      <c r="T1044"/>
      <c r="U1044"/>
      <c r="V1044"/>
      <c r="W1044"/>
      <c r="X1044"/>
      <c r="Y1044"/>
      <c r="Z1044"/>
    </row>
    <row r="1045" spans="19:26" ht="15" customHeight="1" x14ac:dyDescent="0.25">
      <c r="S1045"/>
      <c r="T1045"/>
      <c r="U1045"/>
      <c r="V1045"/>
      <c r="W1045"/>
      <c r="X1045"/>
      <c r="Y1045"/>
      <c r="Z1045"/>
    </row>
    <row r="1046" spans="19:26" ht="15" customHeight="1" x14ac:dyDescent="0.25">
      <c r="S1046"/>
      <c r="T1046"/>
      <c r="U1046"/>
      <c r="V1046"/>
      <c r="W1046"/>
      <c r="X1046"/>
      <c r="Y1046"/>
      <c r="Z1046"/>
    </row>
    <row r="1047" spans="19:26" ht="15" customHeight="1" x14ac:dyDescent="0.25">
      <c r="S1047"/>
      <c r="T1047"/>
      <c r="U1047"/>
      <c r="V1047"/>
      <c r="W1047"/>
      <c r="X1047"/>
      <c r="Y1047"/>
      <c r="Z1047"/>
    </row>
    <row r="1048" spans="19:26" ht="15" customHeight="1" x14ac:dyDescent="0.25">
      <c r="S1048"/>
      <c r="T1048"/>
      <c r="U1048"/>
      <c r="V1048"/>
      <c r="W1048"/>
      <c r="X1048"/>
      <c r="Y1048"/>
      <c r="Z1048"/>
    </row>
    <row r="1049" spans="19:26" ht="15" customHeight="1" x14ac:dyDescent="0.25">
      <c r="S1049"/>
      <c r="T1049"/>
      <c r="U1049"/>
      <c r="V1049"/>
      <c r="W1049"/>
      <c r="X1049"/>
      <c r="Y1049"/>
      <c r="Z1049"/>
    </row>
    <row r="1050" spans="19:26" ht="15" customHeight="1" x14ac:dyDescent="0.25">
      <c r="S1050"/>
      <c r="T1050"/>
      <c r="U1050"/>
      <c r="V1050"/>
      <c r="W1050"/>
      <c r="X1050"/>
      <c r="Y1050"/>
      <c r="Z1050"/>
    </row>
    <row r="1051" spans="19:26" ht="15" customHeight="1" x14ac:dyDescent="0.25">
      <c r="S1051"/>
      <c r="T1051"/>
      <c r="U1051"/>
      <c r="V1051"/>
      <c r="W1051"/>
      <c r="X1051"/>
      <c r="Y1051"/>
      <c r="Z1051"/>
    </row>
    <row r="1052" spans="19:26" ht="15" customHeight="1" x14ac:dyDescent="0.25">
      <c r="S1052"/>
      <c r="T1052"/>
      <c r="U1052"/>
      <c r="V1052"/>
      <c r="W1052"/>
      <c r="X1052"/>
      <c r="Y1052"/>
      <c r="Z1052"/>
    </row>
    <row r="1053" spans="19:26" ht="15" customHeight="1" x14ac:dyDescent="0.25">
      <c r="S1053"/>
      <c r="T1053"/>
      <c r="U1053"/>
      <c r="V1053"/>
      <c r="W1053"/>
      <c r="X1053"/>
      <c r="Y1053"/>
      <c r="Z1053"/>
    </row>
    <row r="1054" spans="19:26" ht="15" customHeight="1" x14ac:dyDescent="0.25">
      <c r="S1054"/>
      <c r="T1054"/>
      <c r="U1054"/>
      <c r="V1054"/>
      <c r="W1054"/>
      <c r="X1054"/>
      <c r="Y1054"/>
      <c r="Z1054"/>
    </row>
    <row r="1055" spans="19:26" ht="15" customHeight="1" x14ac:dyDescent="0.25">
      <c r="S1055"/>
      <c r="T1055"/>
      <c r="U1055"/>
      <c r="V1055"/>
      <c r="W1055"/>
      <c r="X1055"/>
      <c r="Y1055"/>
      <c r="Z1055"/>
    </row>
    <row r="1056" spans="19:26" ht="15" customHeight="1" x14ac:dyDescent="0.25">
      <c r="S1056"/>
      <c r="T1056"/>
      <c r="U1056"/>
      <c r="V1056"/>
      <c r="W1056"/>
      <c r="X1056"/>
      <c r="Y1056"/>
      <c r="Z1056"/>
    </row>
    <row r="1057" spans="19:26" ht="15" customHeight="1" x14ac:dyDescent="0.25">
      <c r="S1057"/>
      <c r="T1057"/>
      <c r="U1057"/>
      <c r="V1057"/>
      <c r="W1057"/>
      <c r="X1057"/>
      <c r="Y1057"/>
      <c r="Z1057"/>
    </row>
    <row r="1058" spans="19:26" ht="15" customHeight="1" x14ac:dyDescent="0.25">
      <c r="S1058"/>
      <c r="T1058"/>
      <c r="U1058"/>
      <c r="V1058"/>
      <c r="W1058"/>
      <c r="X1058"/>
      <c r="Y1058"/>
      <c r="Z1058"/>
    </row>
    <row r="1059" spans="19:26" ht="15" customHeight="1" x14ac:dyDescent="0.25">
      <c r="S1059"/>
      <c r="T1059"/>
      <c r="U1059"/>
      <c r="V1059"/>
      <c r="W1059"/>
      <c r="X1059"/>
      <c r="Y1059"/>
      <c r="Z1059"/>
    </row>
    <row r="1060" spans="19:26" ht="15" customHeight="1" x14ac:dyDescent="0.25">
      <c r="S1060"/>
      <c r="T1060"/>
      <c r="U1060"/>
      <c r="V1060"/>
      <c r="W1060"/>
      <c r="X1060"/>
      <c r="Y1060"/>
      <c r="Z1060"/>
    </row>
    <row r="1061" spans="19:26" ht="15" customHeight="1" x14ac:dyDescent="0.25">
      <c r="S1061"/>
      <c r="T1061"/>
      <c r="U1061"/>
      <c r="V1061"/>
      <c r="W1061"/>
      <c r="X1061"/>
      <c r="Y1061"/>
      <c r="Z1061"/>
    </row>
    <row r="1062" spans="19:26" ht="15" customHeight="1" x14ac:dyDescent="0.25">
      <c r="S1062"/>
      <c r="T1062"/>
      <c r="U1062"/>
      <c r="V1062"/>
      <c r="W1062"/>
      <c r="X1062"/>
      <c r="Y1062"/>
      <c r="Z1062"/>
    </row>
    <row r="1063" spans="19:26" ht="15" customHeight="1" x14ac:dyDescent="0.25">
      <c r="S1063"/>
      <c r="T1063"/>
      <c r="U1063"/>
      <c r="V1063"/>
      <c r="W1063"/>
      <c r="X1063"/>
      <c r="Y1063"/>
      <c r="Z1063"/>
    </row>
    <row r="1064" spans="19:26" ht="15" customHeight="1" x14ac:dyDescent="0.25">
      <c r="S1064"/>
      <c r="T1064"/>
      <c r="U1064"/>
      <c r="V1064"/>
      <c r="W1064"/>
      <c r="X1064"/>
      <c r="Y1064"/>
      <c r="Z1064"/>
    </row>
    <row r="1065" spans="19:26" ht="15" customHeight="1" x14ac:dyDescent="0.25">
      <c r="S1065"/>
      <c r="T1065"/>
      <c r="U1065"/>
      <c r="V1065"/>
      <c r="W1065"/>
      <c r="X1065"/>
      <c r="Y1065"/>
      <c r="Z1065"/>
    </row>
    <row r="1066" spans="19:26" ht="15" customHeight="1" x14ac:dyDescent="0.25">
      <c r="S1066"/>
      <c r="T1066"/>
      <c r="U1066"/>
      <c r="V1066"/>
      <c r="W1066"/>
      <c r="X1066"/>
      <c r="Y1066"/>
      <c r="Z1066"/>
    </row>
    <row r="1067" spans="19:26" ht="15" customHeight="1" x14ac:dyDescent="0.25">
      <c r="S1067"/>
      <c r="T1067"/>
      <c r="U1067"/>
      <c r="V1067"/>
      <c r="W1067"/>
      <c r="X1067"/>
      <c r="Y1067"/>
      <c r="Z1067"/>
    </row>
    <row r="1068" spans="19:26" ht="15" customHeight="1" x14ac:dyDescent="0.25">
      <c r="S1068"/>
      <c r="T1068"/>
      <c r="U1068"/>
      <c r="V1068"/>
      <c r="W1068"/>
      <c r="X1068"/>
      <c r="Y1068"/>
      <c r="Z1068"/>
    </row>
    <row r="1069" spans="19:26" ht="15" customHeight="1" x14ac:dyDescent="0.25">
      <c r="S1069"/>
      <c r="T1069"/>
      <c r="U1069"/>
      <c r="V1069"/>
      <c r="W1069"/>
      <c r="X1069"/>
      <c r="Y1069"/>
      <c r="Z1069"/>
    </row>
    <row r="1070" spans="19:26" ht="15" customHeight="1" x14ac:dyDescent="0.25">
      <c r="S1070"/>
      <c r="T1070"/>
      <c r="U1070"/>
      <c r="V1070"/>
      <c r="W1070"/>
      <c r="X1070"/>
      <c r="Y1070"/>
      <c r="Z1070"/>
    </row>
    <row r="1071" spans="19:26" ht="15" customHeight="1" x14ac:dyDescent="0.25">
      <c r="S1071"/>
      <c r="T1071"/>
      <c r="U1071"/>
      <c r="V1071"/>
      <c r="W1071"/>
      <c r="X1071"/>
      <c r="Y1071"/>
      <c r="Z1071"/>
    </row>
    <row r="1072" spans="19:26" ht="15" customHeight="1" x14ac:dyDescent="0.25">
      <c r="S1072"/>
      <c r="T1072"/>
      <c r="U1072"/>
      <c r="V1072"/>
      <c r="W1072"/>
      <c r="X1072"/>
      <c r="Y1072"/>
      <c r="Z1072"/>
    </row>
    <row r="1073" spans="19:26" ht="15" customHeight="1" x14ac:dyDescent="0.25">
      <c r="S1073"/>
      <c r="T1073"/>
      <c r="U1073"/>
      <c r="V1073"/>
      <c r="W1073"/>
      <c r="X1073"/>
      <c r="Y1073"/>
      <c r="Z1073"/>
    </row>
    <row r="1074" spans="19:26" ht="15" customHeight="1" x14ac:dyDescent="0.25">
      <c r="S1074"/>
      <c r="T1074"/>
      <c r="U1074"/>
      <c r="V1074"/>
      <c r="W1074"/>
      <c r="X1074"/>
      <c r="Y1074"/>
      <c r="Z1074"/>
    </row>
    <row r="1075" spans="19:26" ht="15" customHeight="1" x14ac:dyDescent="0.25">
      <c r="S1075"/>
      <c r="T1075"/>
      <c r="U1075"/>
      <c r="V1075"/>
      <c r="W1075"/>
      <c r="X1075"/>
      <c r="Y1075"/>
      <c r="Z1075"/>
    </row>
    <row r="1076" spans="19:26" ht="15" customHeight="1" x14ac:dyDescent="0.25">
      <c r="S1076"/>
      <c r="T1076"/>
      <c r="U1076"/>
      <c r="V1076"/>
      <c r="W1076"/>
      <c r="X1076"/>
      <c r="Y1076"/>
      <c r="Z1076"/>
    </row>
    <row r="1077" spans="19:26" ht="15" customHeight="1" x14ac:dyDescent="0.25">
      <c r="S1077"/>
      <c r="T1077"/>
      <c r="U1077"/>
      <c r="V1077"/>
      <c r="W1077"/>
      <c r="X1077"/>
      <c r="Y1077"/>
      <c r="Z1077"/>
    </row>
    <row r="1078" spans="19:26" ht="15" customHeight="1" x14ac:dyDescent="0.25">
      <c r="S1078"/>
      <c r="T1078"/>
      <c r="U1078"/>
      <c r="V1078"/>
      <c r="W1078"/>
      <c r="X1078"/>
      <c r="Y1078"/>
      <c r="Z1078"/>
    </row>
    <row r="1079" spans="19:26" ht="15" customHeight="1" x14ac:dyDescent="0.25">
      <c r="S1079"/>
      <c r="T1079"/>
      <c r="U1079"/>
      <c r="V1079"/>
      <c r="W1079"/>
      <c r="X1079"/>
      <c r="Y1079"/>
      <c r="Z1079"/>
    </row>
    <row r="1080" spans="19:26" ht="15" customHeight="1" x14ac:dyDescent="0.25">
      <c r="S1080"/>
      <c r="T1080"/>
      <c r="U1080"/>
      <c r="V1080"/>
      <c r="W1080"/>
      <c r="X1080"/>
      <c r="Y1080"/>
      <c r="Z1080"/>
    </row>
    <row r="1081" spans="19:26" ht="15" customHeight="1" x14ac:dyDescent="0.25">
      <c r="S1081"/>
      <c r="T1081"/>
      <c r="U1081"/>
      <c r="V1081"/>
      <c r="W1081"/>
      <c r="X1081"/>
      <c r="Y1081"/>
      <c r="Z1081"/>
    </row>
    <row r="1082" spans="19:26" ht="15" customHeight="1" x14ac:dyDescent="0.25">
      <c r="S1082"/>
      <c r="T1082"/>
      <c r="U1082"/>
      <c r="V1082"/>
      <c r="W1082"/>
      <c r="X1082"/>
      <c r="Y1082"/>
      <c r="Z1082"/>
    </row>
    <row r="1083" spans="19:26" ht="15" customHeight="1" x14ac:dyDescent="0.25">
      <c r="S1083"/>
      <c r="T1083"/>
      <c r="U1083"/>
      <c r="V1083"/>
      <c r="W1083"/>
      <c r="X1083"/>
      <c r="Y1083"/>
      <c r="Z1083"/>
    </row>
    <row r="1084" spans="19:26" ht="15" customHeight="1" x14ac:dyDescent="0.25">
      <c r="S1084"/>
      <c r="T1084"/>
      <c r="U1084"/>
      <c r="V1084"/>
      <c r="W1084"/>
      <c r="X1084"/>
      <c r="Y1084"/>
      <c r="Z1084"/>
    </row>
    <row r="1085" spans="19:26" ht="15" customHeight="1" x14ac:dyDescent="0.25">
      <c r="S1085"/>
      <c r="T1085"/>
      <c r="U1085"/>
      <c r="V1085"/>
      <c r="W1085"/>
      <c r="X1085"/>
      <c r="Y1085"/>
      <c r="Z1085"/>
    </row>
    <row r="1086" spans="19:26" ht="15" customHeight="1" x14ac:dyDescent="0.25">
      <c r="S1086"/>
      <c r="T1086"/>
      <c r="U1086"/>
      <c r="V1086"/>
      <c r="W1086"/>
      <c r="X1086"/>
      <c r="Y1086"/>
      <c r="Z1086"/>
    </row>
    <row r="1087" spans="19:26" ht="15" customHeight="1" x14ac:dyDescent="0.25">
      <c r="S1087"/>
      <c r="T1087"/>
      <c r="U1087"/>
      <c r="V1087"/>
      <c r="W1087"/>
      <c r="X1087"/>
      <c r="Y1087"/>
      <c r="Z1087"/>
    </row>
    <row r="1088" spans="19:26" ht="15" customHeight="1" x14ac:dyDescent="0.25">
      <c r="S1088"/>
      <c r="T1088"/>
      <c r="U1088"/>
      <c r="V1088"/>
      <c r="W1088"/>
      <c r="X1088"/>
      <c r="Y1088"/>
      <c r="Z1088"/>
    </row>
    <row r="1089" spans="19:26" ht="15" customHeight="1" x14ac:dyDescent="0.25">
      <c r="S1089"/>
      <c r="T1089"/>
      <c r="U1089"/>
      <c r="V1089"/>
      <c r="W1089"/>
      <c r="X1089"/>
      <c r="Y1089"/>
      <c r="Z1089"/>
    </row>
    <row r="1090" spans="19:26" ht="15" customHeight="1" x14ac:dyDescent="0.25">
      <c r="S1090"/>
      <c r="T1090"/>
      <c r="U1090"/>
      <c r="V1090"/>
      <c r="W1090"/>
      <c r="X1090"/>
      <c r="Y1090"/>
      <c r="Z1090"/>
    </row>
    <row r="1091" spans="19:26" ht="15" customHeight="1" x14ac:dyDescent="0.25">
      <c r="S1091"/>
      <c r="T1091"/>
      <c r="U1091"/>
      <c r="V1091"/>
      <c r="W1091"/>
      <c r="X1091"/>
      <c r="Y1091"/>
      <c r="Z1091"/>
    </row>
    <row r="1092" spans="19:26" ht="15" customHeight="1" x14ac:dyDescent="0.25">
      <c r="S1092"/>
      <c r="T1092"/>
      <c r="U1092"/>
      <c r="V1092"/>
      <c r="W1092"/>
      <c r="X1092"/>
      <c r="Y1092"/>
      <c r="Z1092"/>
    </row>
    <row r="1093" spans="19:26" ht="15" customHeight="1" x14ac:dyDescent="0.25">
      <c r="S1093"/>
      <c r="T1093"/>
      <c r="U1093"/>
      <c r="V1093"/>
      <c r="W1093"/>
      <c r="X1093"/>
      <c r="Y1093"/>
      <c r="Z1093"/>
    </row>
    <row r="1094" spans="19:26" ht="15" customHeight="1" x14ac:dyDescent="0.25">
      <c r="S1094"/>
      <c r="T1094"/>
      <c r="U1094"/>
      <c r="V1094"/>
      <c r="W1094"/>
      <c r="X1094"/>
      <c r="Y1094"/>
      <c r="Z1094"/>
    </row>
    <row r="1095" spans="19:26" ht="15" customHeight="1" x14ac:dyDescent="0.25">
      <c r="S1095"/>
      <c r="T1095"/>
      <c r="U1095"/>
      <c r="V1095"/>
      <c r="W1095"/>
      <c r="X1095"/>
      <c r="Y1095"/>
      <c r="Z1095"/>
    </row>
    <row r="1096" spans="19:26" ht="15" customHeight="1" x14ac:dyDescent="0.25">
      <c r="S1096"/>
      <c r="T1096"/>
      <c r="U1096"/>
      <c r="V1096"/>
      <c r="W1096"/>
      <c r="X1096"/>
      <c r="Y1096"/>
      <c r="Z1096"/>
    </row>
    <row r="1097" spans="19:26" ht="15" customHeight="1" x14ac:dyDescent="0.25">
      <c r="S1097"/>
      <c r="T1097"/>
      <c r="U1097"/>
      <c r="V1097"/>
      <c r="W1097"/>
      <c r="X1097"/>
      <c r="Y1097"/>
      <c r="Z1097"/>
    </row>
    <row r="1098" spans="19:26" ht="15" customHeight="1" x14ac:dyDescent="0.25">
      <c r="S1098"/>
      <c r="T1098"/>
      <c r="U1098"/>
      <c r="V1098"/>
      <c r="W1098"/>
      <c r="X1098"/>
      <c r="Y1098"/>
      <c r="Z1098"/>
    </row>
    <row r="1099" spans="19:26" ht="15" customHeight="1" x14ac:dyDescent="0.25">
      <c r="S1099"/>
      <c r="T1099"/>
      <c r="U1099"/>
      <c r="V1099"/>
      <c r="W1099"/>
      <c r="X1099"/>
      <c r="Y1099"/>
      <c r="Z1099"/>
    </row>
    <row r="1100" spans="19:26" ht="15" customHeight="1" x14ac:dyDescent="0.25">
      <c r="S1100"/>
      <c r="T1100"/>
      <c r="U1100"/>
      <c r="V1100"/>
      <c r="W1100"/>
      <c r="X1100"/>
      <c r="Y1100"/>
      <c r="Z1100"/>
    </row>
    <row r="1101" spans="19:26" ht="15" customHeight="1" x14ac:dyDescent="0.25">
      <c r="S1101"/>
      <c r="T1101"/>
      <c r="U1101"/>
      <c r="V1101"/>
      <c r="W1101"/>
      <c r="X1101"/>
      <c r="Y1101"/>
      <c r="Z1101"/>
    </row>
    <row r="1102" spans="19:26" ht="15" customHeight="1" x14ac:dyDescent="0.25">
      <c r="S1102"/>
      <c r="T1102"/>
      <c r="U1102"/>
      <c r="V1102"/>
      <c r="W1102"/>
      <c r="X1102"/>
      <c r="Y1102"/>
      <c r="Z1102"/>
    </row>
    <row r="1103" spans="19:26" ht="15" customHeight="1" x14ac:dyDescent="0.25">
      <c r="S1103"/>
      <c r="T1103"/>
      <c r="U1103"/>
      <c r="V1103"/>
      <c r="W1103"/>
      <c r="X1103"/>
      <c r="Y1103"/>
      <c r="Z1103"/>
    </row>
    <row r="1104" spans="19:26" ht="15" customHeight="1" x14ac:dyDescent="0.25">
      <c r="S1104"/>
      <c r="T1104"/>
      <c r="U1104"/>
      <c r="V1104"/>
      <c r="W1104"/>
      <c r="X1104"/>
      <c r="Y1104"/>
      <c r="Z1104"/>
    </row>
    <row r="1105" spans="19:26" ht="15" customHeight="1" x14ac:dyDescent="0.25">
      <c r="S1105"/>
      <c r="T1105"/>
      <c r="U1105"/>
      <c r="V1105"/>
      <c r="W1105"/>
      <c r="X1105"/>
      <c r="Y1105"/>
      <c r="Z1105"/>
    </row>
    <row r="1106" spans="19:26" ht="15" customHeight="1" x14ac:dyDescent="0.25">
      <c r="S1106"/>
      <c r="T1106"/>
      <c r="U1106"/>
      <c r="V1106"/>
      <c r="W1106"/>
      <c r="X1106"/>
      <c r="Y1106"/>
      <c r="Z1106"/>
    </row>
    <row r="1107" spans="19:26" ht="15" customHeight="1" x14ac:dyDescent="0.25">
      <c r="S1107"/>
      <c r="T1107"/>
      <c r="U1107"/>
      <c r="V1107"/>
      <c r="W1107"/>
      <c r="X1107"/>
      <c r="Y1107"/>
      <c r="Z1107"/>
    </row>
    <row r="1108" spans="19:26" ht="15" customHeight="1" x14ac:dyDescent="0.25">
      <c r="S1108"/>
      <c r="T1108"/>
      <c r="U1108"/>
      <c r="V1108"/>
      <c r="W1108"/>
      <c r="X1108"/>
      <c r="Y1108"/>
      <c r="Z1108"/>
    </row>
    <row r="1109" spans="19:26" ht="15" customHeight="1" x14ac:dyDescent="0.25">
      <c r="S1109"/>
      <c r="T1109"/>
      <c r="U1109"/>
      <c r="V1109"/>
      <c r="W1109"/>
      <c r="X1109"/>
      <c r="Y1109"/>
      <c r="Z1109"/>
    </row>
    <row r="1110" spans="19:26" ht="15" customHeight="1" x14ac:dyDescent="0.25">
      <c r="S1110"/>
      <c r="T1110"/>
      <c r="U1110"/>
      <c r="V1110"/>
      <c r="W1110"/>
      <c r="X1110"/>
      <c r="Y1110"/>
      <c r="Z1110"/>
    </row>
    <row r="1111" spans="19:26" ht="15" customHeight="1" x14ac:dyDescent="0.25">
      <c r="S1111"/>
      <c r="T1111"/>
      <c r="U1111"/>
      <c r="V1111"/>
      <c r="W1111"/>
      <c r="X1111"/>
      <c r="Y1111"/>
      <c r="Z1111"/>
    </row>
    <row r="1112" spans="19:26" ht="15" customHeight="1" x14ac:dyDescent="0.25">
      <c r="S1112"/>
      <c r="T1112"/>
      <c r="U1112"/>
      <c r="V1112"/>
      <c r="W1112"/>
      <c r="X1112"/>
      <c r="Y1112"/>
      <c r="Z1112"/>
    </row>
    <row r="1113" spans="19:26" ht="15" customHeight="1" x14ac:dyDescent="0.25">
      <c r="S1113"/>
      <c r="T1113"/>
      <c r="U1113"/>
      <c r="V1113"/>
      <c r="W1113"/>
      <c r="X1113"/>
      <c r="Y1113"/>
      <c r="Z1113"/>
    </row>
    <row r="1114" spans="19:26" ht="15" customHeight="1" x14ac:dyDescent="0.25">
      <c r="S1114"/>
      <c r="T1114"/>
      <c r="U1114"/>
      <c r="V1114"/>
      <c r="W1114"/>
      <c r="X1114"/>
      <c r="Y1114"/>
      <c r="Z1114"/>
    </row>
    <row r="1115" spans="19:26" ht="15" customHeight="1" x14ac:dyDescent="0.25">
      <c r="S1115"/>
      <c r="T1115"/>
      <c r="U1115"/>
      <c r="V1115"/>
      <c r="W1115"/>
      <c r="X1115"/>
      <c r="Y1115"/>
      <c r="Z1115"/>
    </row>
    <row r="1116" spans="19:26" ht="15" customHeight="1" x14ac:dyDescent="0.25">
      <c r="S1116"/>
      <c r="T1116"/>
      <c r="U1116"/>
      <c r="V1116"/>
      <c r="W1116"/>
      <c r="X1116"/>
      <c r="Y1116"/>
      <c r="Z1116"/>
    </row>
    <row r="1117" spans="19:26" ht="15" customHeight="1" x14ac:dyDescent="0.25">
      <c r="S1117"/>
      <c r="T1117"/>
      <c r="U1117"/>
      <c r="V1117"/>
      <c r="W1117"/>
      <c r="X1117"/>
      <c r="Y1117"/>
      <c r="Z1117"/>
    </row>
    <row r="1118" spans="19:26" ht="15" customHeight="1" x14ac:dyDescent="0.25">
      <c r="S1118"/>
      <c r="T1118"/>
      <c r="U1118"/>
      <c r="V1118"/>
      <c r="W1118"/>
      <c r="X1118"/>
      <c r="Y1118"/>
      <c r="Z1118"/>
    </row>
    <row r="1119" spans="19:26" ht="15" customHeight="1" x14ac:dyDescent="0.25">
      <c r="S1119"/>
      <c r="T1119"/>
      <c r="U1119"/>
      <c r="V1119"/>
      <c r="W1119"/>
      <c r="X1119"/>
      <c r="Y1119"/>
      <c r="Z1119"/>
    </row>
    <row r="1120" spans="19:26" ht="15" customHeight="1" x14ac:dyDescent="0.25">
      <c r="S1120"/>
      <c r="T1120"/>
      <c r="U1120"/>
      <c r="V1120"/>
      <c r="W1120"/>
      <c r="X1120"/>
      <c r="Y1120"/>
      <c r="Z1120"/>
    </row>
    <row r="1121" spans="19:26" ht="15" customHeight="1" x14ac:dyDescent="0.25">
      <c r="S1121"/>
      <c r="T1121"/>
      <c r="U1121"/>
      <c r="V1121"/>
      <c r="W1121"/>
      <c r="X1121"/>
      <c r="Y1121"/>
      <c r="Z1121"/>
    </row>
    <row r="1122" spans="19:26" ht="15" customHeight="1" x14ac:dyDescent="0.25">
      <c r="S1122"/>
      <c r="T1122"/>
      <c r="U1122"/>
      <c r="V1122"/>
      <c r="W1122"/>
      <c r="X1122"/>
      <c r="Y1122"/>
      <c r="Z1122"/>
    </row>
    <row r="1123" spans="19:26" ht="15" customHeight="1" x14ac:dyDescent="0.25">
      <c r="S1123"/>
      <c r="T1123"/>
      <c r="U1123"/>
      <c r="V1123"/>
      <c r="W1123"/>
      <c r="X1123"/>
      <c r="Y1123"/>
      <c r="Z1123"/>
    </row>
    <row r="1124" spans="19:26" ht="15" customHeight="1" x14ac:dyDescent="0.25">
      <c r="S1124"/>
      <c r="T1124"/>
      <c r="U1124"/>
      <c r="V1124"/>
      <c r="W1124"/>
      <c r="X1124"/>
      <c r="Y1124"/>
      <c r="Z1124"/>
    </row>
    <row r="1125" spans="19:26" ht="15" customHeight="1" x14ac:dyDescent="0.25">
      <c r="S1125"/>
      <c r="T1125"/>
      <c r="U1125"/>
      <c r="V1125"/>
      <c r="W1125"/>
      <c r="X1125"/>
      <c r="Y1125"/>
      <c r="Z1125"/>
    </row>
    <row r="1126" spans="19:26" ht="15" customHeight="1" x14ac:dyDescent="0.25">
      <c r="S1126"/>
      <c r="T1126"/>
      <c r="U1126"/>
      <c r="V1126"/>
      <c r="W1126"/>
      <c r="X1126"/>
      <c r="Y1126"/>
      <c r="Z1126"/>
    </row>
    <row r="1127" spans="19:26" ht="15" customHeight="1" x14ac:dyDescent="0.25">
      <c r="S1127"/>
      <c r="T1127"/>
      <c r="U1127"/>
      <c r="V1127"/>
      <c r="W1127"/>
      <c r="X1127"/>
      <c r="Y1127"/>
      <c r="Z1127"/>
    </row>
    <row r="1128" spans="19:26" ht="15" customHeight="1" x14ac:dyDescent="0.25">
      <c r="S1128"/>
      <c r="T1128"/>
      <c r="U1128"/>
      <c r="V1128"/>
      <c r="W1128"/>
      <c r="X1128"/>
      <c r="Y1128"/>
      <c r="Z1128"/>
    </row>
    <row r="1129" spans="19:26" ht="15" customHeight="1" x14ac:dyDescent="0.25">
      <c r="S1129"/>
      <c r="T1129"/>
      <c r="U1129"/>
      <c r="V1129"/>
      <c r="W1129"/>
      <c r="X1129"/>
      <c r="Y1129"/>
      <c r="Z1129"/>
    </row>
    <row r="1130" spans="19:26" ht="15" customHeight="1" x14ac:dyDescent="0.25">
      <c r="S1130"/>
      <c r="T1130"/>
      <c r="U1130"/>
      <c r="V1130"/>
      <c r="W1130"/>
      <c r="X1130"/>
      <c r="Y1130"/>
      <c r="Z1130"/>
    </row>
    <row r="1131" spans="19:26" ht="15" customHeight="1" x14ac:dyDescent="0.25">
      <c r="S1131"/>
      <c r="T1131"/>
      <c r="U1131"/>
      <c r="V1131"/>
      <c r="W1131"/>
      <c r="X1131"/>
      <c r="Y1131"/>
      <c r="Z1131"/>
    </row>
    <row r="1132" spans="19:26" ht="15" customHeight="1" x14ac:dyDescent="0.25">
      <c r="S1132"/>
      <c r="T1132"/>
      <c r="U1132"/>
      <c r="V1132"/>
      <c r="W1132"/>
      <c r="X1132"/>
      <c r="Y1132"/>
      <c r="Z1132"/>
    </row>
    <row r="1133" spans="19:26" ht="15" customHeight="1" x14ac:dyDescent="0.25">
      <c r="S1133"/>
      <c r="T1133"/>
      <c r="U1133"/>
      <c r="V1133"/>
      <c r="W1133"/>
      <c r="X1133"/>
      <c r="Y1133"/>
      <c r="Z1133"/>
    </row>
    <row r="1134" spans="19:26" ht="15" customHeight="1" x14ac:dyDescent="0.25">
      <c r="S1134"/>
      <c r="T1134"/>
      <c r="U1134"/>
      <c r="V1134"/>
      <c r="W1134"/>
      <c r="X1134"/>
      <c r="Y1134"/>
      <c r="Z1134"/>
    </row>
    <row r="1135" spans="19:26" ht="15" customHeight="1" x14ac:dyDescent="0.25">
      <c r="S1135"/>
      <c r="T1135"/>
      <c r="U1135"/>
      <c r="V1135"/>
      <c r="W1135"/>
      <c r="X1135"/>
      <c r="Y1135"/>
      <c r="Z1135"/>
    </row>
    <row r="1136" spans="19:26" ht="15" customHeight="1" x14ac:dyDescent="0.25">
      <c r="S1136"/>
      <c r="T1136"/>
      <c r="U1136"/>
      <c r="V1136"/>
      <c r="W1136"/>
      <c r="X1136"/>
      <c r="Y1136"/>
      <c r="Z1136"/>
    </row>
    <row r="1137" spans="19:26" ht="15" customHeight="1" x14ac:dyDescent="0.25">
      <c r="S1137"/>
      <c r="T1137"/>
      <c r="U1137"/>
      <c r="V1137"/>
      <c r="W1137"/>
      <c r="X1137"/>
      <c r="Y1137"/>
      <c r="Z1137"/>
    </row>
    <row r="1138" spans="19:26" ht="15" customHeight="1" x14ac:dyDescent="0.25">
      <c r="S1138"/>
      <c r="T1138"/>
      <c r="U1138"/>
      <c r="V1138"/>
      <c r="W1138"/>
      <c r="X1138"/>
      <c r="Y1138"/>
      <c r="Z1138"/>
    </row>
    <row r="1139" spans="19:26" ht="15" customHeight="1" x14ac:dyDescent="0.25">
      <c r="S1139"/>
      <c r="T1139"/>
      <c r="U1139"/>
      <c r="V1139"/>
      <c r="W1139"/>
      <c r="X1139"/>
      <c r="Y1139"/>
      <c r="Z1139"/>
    </row>
    <row r="1140" spans="19:26" ht="15" customHeight="1" x14ac:dyDescent="0.25">
      <c r="S1140"/>
      <c r="T1140"/>
      <c r="U1140"/>
      <c r="V1140"/>
      <c r="W1140"/>
      <c r="X1140"/>
      <c r="Y1140"/>
      <c r="Z1140"/>
    </row>
    <row r="1141" spans="19:26" ht="15" customHeight="1" x14ac:dyDescent="0.25">
      <c r="S1141"/>
      <c r="T1141"/>
      <c r="U1141"/>
      <c r="V1141"/>
      <c r="W1141"/>
      <c r="X1141"/>
      <c r="Y1141"/>
      <c r="Z1141"/>
    </row>
    <row r="1142" spans="19:26" ht="15" customHeight="1" x14ac:dyDescent="0.25">
      <c r="S1142"/>
      <c r="T1142"/>
      <c r="U1142"/>
      <c r="V1142"/>
      <c r="W1142"/>
      <c r="X1142"/>
      <c r="Y1142"/>
      <c r="Z1142"/>
    </row>
    <row r="1143" spans="19:26" ht="15" customHeight="1" x14ac:dyDescent="0.25">
      <c r="S1143"/>
      <c r="T1143"/>
      <c r="U1143"/>
      <c r="V1143"/>
      <c r="W1143"/>
      <c r="X1143"/>
      <c r="Y1143"/>
      <c r="Z1143"/>
    </row>
    <row r="1144" spans="19:26" ht="15" customHeight="1" x14ac:dyDescent="0.25">
      <c r="S1144"/>
      <c r="T1144"/>
      <c r="U1144"/>
      <c r="V1144"/>
      <c r="W1144"/>
      <c r="X1144"/>
      <c r="Y1144"/>
      <c r="Z1144"/>
    </row>
    <row r="1145" spans="19:26" ht="15" customHeight="1" x14ac:dyDescent="0.25">
      <c r="S1145"/>
      <c r="T1145"/>
      <c r="U1145"/>
      <c r="V1145"/>
      <c r="W1145"/>
      <c r="X1145"/>
      <c r="Y1145"/>
      <c r="Z1145"/>
    </row>
    <row r="1146" spans="19:26" ht="15" customHeight="1" x14ac:dyDescent="0.25">
      <c r="S1146"/>
      <c r="T1146"/>
      <c r="U1146"/>
      <c r="V1146"/>
      <c r="W1146"/>
      <c r="X1146"/>
      <c r="Y1146"/>
      <c r="Z1146"/>
    </row>
    <row r="1147" spans="19:26" ht="15" customHeight="1" x14ac:dyDescent="0.25">
      <c r="S1147"/>
      <c r="T1147"/>
      <c r="U1147"/>
      <c r="V1147"/>
      <c r="W1147"/>
      <c r="X1147"/>
      <c r="Y1147"/>
      <c r="Z1147"/>
    </row>
    <row r="1148" spans="19:26" ht="15" customHeight="1" x14ac:dyDescent="0.25">
      <c r="S1148"/>
      <c r="T1148"/>
      <c r="U1148"/>
      <c r="V1148"/>
      <c r="W1148"/>
      <c r="X1148"/>
      <c r="Y1148"/>
      <c r="Z1148"/>
    </row>
    <row r="1149" spans="19:26" ht="15" customHeight="1" x14ac:dyDescent="0.25">
      <c r="S1149"/>
      <c r="T1149"/>
      <c r="U1149"/>
      <c r="V1149"/>
      <c r="W1149"/>
      <c r="X1149"/>
      <c r="Y1149"/>
      <c r="Z1149"/>
    </row>
    <row r="1150" spans="19:26" ht="15" customHeight="1" x14ac:dyDescent="0.25">
      <c r="S1150"/>
      <c r="T1150"/>
      <c r="U1150"/>
      <c r="V1150"/>
      <c r="W1150"/>
      <c r="X1150"/>
      <c r="Y1150"/>
      <c r="Z1150"/>
    </row>
    <row r="1151" spans="19:26" ht="15" customHeight="1" x14ac:dyDescent="0.25">
      <c r="S1151"/>
      <c r="T1151"/>
      <c r="U1151"/>
      <c r="V1151"/>
      <c r="W1151"/>
      <c r="X1151"/>
      <c r="Y1151"/>
      <c r="Z1151"/>
    </row>
    <row r="1152" spans="19:26" ht="15" customHeight="1" x14ac:dyDescent="0.25">
      <c r="S1152"/>
      <c r="T1152"/>
      <c r="U1152"/>
      <c r="V1152"/>
      <c r="W1152"/>
      <c r="X1152"/>
      <c r="Y1152"/>
      <c r="Z1152"/>
    </row>
    <row r="1153" spans="19:26" ht="15" customHeight="1" x14ac:dyDescent="0.25">
      <c r="S1153"/>
      <c r="T1153"/>
      <c r="U1153"/>
      <c r="V1153"/>
      <c r="W1153"/>
      <c r="X1153"/>
      <c r="Y1153"/>
      <c r="Z1153"/>
    </row>
    <row r="1154" spans="19:26" ht="15" customHeight="1" x14ac:dyDescent="0.25">
      <c r="S1154"/>
      <c r="T1154"/>
      <c r="U1154"/>
      <c r="V1154"/>
      <c r="W1154"/>
      <c r="X1154"/>
      <c r="Y1154"/>
      <c r="Z1154"/>
    </row>
    <row r="1155" spans="19:26" ht="15" customHeight="1" x14ac:dyDescent="0.25">
      <c r="S1155"/>
      <c r="T1155"/>
      <c r="U1155"/>
      <c r="V1155"/>
      <c r="W1155"/>
      <c r="X1155"/>
      <c r="Y1155"/>
      <c r="Z1155"/>
    </row>
    <row r="1156" spans="19:26" ht="15" customHeight="1" x14ac:dyDescent="0.25">
      <c r="S1156"/>
      <c r="T1156"/>
      <c r="U1156"/>
      <c r="V1156"/>
      <c r="W1156"/>
      <c r="X1156"/>
      <c r="Y1156"/>
      <c r="Z1156"/>
    </row>
    <row r="1157" spans="19:26" ht="15" customHeight="1" x14ac:dyDescent="0.25">
      <c r="S1157"/>
      <c r="T1157"/>
      <c r="U1157"/>
      <c r="V1157"/>
      <c r="W1157"/>
      <c r="X1157"/>
      <c r="Y1157"/>
      <c r="Z1157"/>
    </row>
    <row r="1158" spans="19:26" ht="15" customHeight="1" x14ac:dyDescent="0.25">
      <c r="S1158"/>
      <c r="T1158"/>
      <c r="U1158"/>
      <c r="V1158"/>
      <c r="W1158"/>
      <c r="X1158"/>
      <c r="Y1158"/>
      <c r="Z1158"/>
    </row>
    <row r="1159" spans="19:26" ht="15" customHeight="1" x14ac:dyDescent="0.25">
      <c r="S1159"/>
      <c r="T1159"/>
      <c r="U1159"/>
      <c r="V1159"/>
      <c r="W1159"/>
      <c r="X1159"/>
      <c r="Y1159"/>
      <c r="Z1159"/>
    </row>
    <row r="1160" spans="19:26" ht="15" customHeight="1" x14ac:dyDescent="0.25">
      <c r="S1160"/>
      <c r="T1160"/>
      <c r="U1160"/>
      <c r="V1160"/>
      <c r="W1160"/>
      <c r="X1160"/>
      <c r="Y1160"/>
      <c r="Z1160"/>
    </row>
    <row r="1161" spans="19:26" ht="15" customHeight="1" x14ac:dyDescent="0.25">
      <c r="S1161"/>
      <c r="T1161"/>
      <c r="U1161"/>
      <c r="V1161"/>
      <c r="W1161"/>
      <c r="X1161"/>
      <c r="Y1161"/>
      <c r="Z1161"/>
    </row>
    <row r="1162" spans="19:26" ht="15" customHeight="1" x14ac:dyDescent="0.25">
      <c r="S1162"/>
      <c r="T1162"/>
      <c r="U1162"/>
      <c r="V1162"/>
      <c r="W1162"/>
      <c r="X1162"/>
      <c r="Y1162"/>
      <c r="Z1162"/>
    </row>
    <row r="1163" spans="19:26" ht="15" customHeight="1" x14ac:dyDescent="0.25">
      <c r="S1163"/>
      <c r="T1163"/>
      <c r="U1163"/>
      <c r="V1163"/>
      <c r="W1163"/>
      <c r="X1163"/>
      <c r="Y1163"/>
      <c r="Z1163"/>
    </row>
    <row r="1164" spans="19:26" ht="15" customHeight="1" x14ac:dyDescent="0.25">
      <c r="S1164"/>
      <c r="T1164"/>
      <c r="U1164"/>
      <c r="V1164"/>
      <c r="W1164"/>
      <c r="X1164"/>
      <c r="Y1164"/>
      <c r="Z1164"/>
    </row>
    <row r="1165" spans="19:26" ht="15" customHeight="1" x14ac:dyDescent="0.25">
      <c r="S1165"/>
      <c r="T1165"/>
      <c r="U1165"/>
      <c r="V1165"/>
      <c r="W1165"/>
      <c r="X1165"/>
      <c r="Y1165"/>
      <c r="Z1165"/>
    </row>
    <row r="1166" spans="19:26" ht="15" customHeight="1" x14ac:dyDescent="0.25">
      <c r="S1166"/>
      <c r="T1166"/>
      <c r="U1166"/>
      <c r="V1166"/>
      <c r="W1166"/>
      <c r="X1166"/>
      <c r="Y1166"/>
      <c r="Z1166"/>
    </row>
    <row r="1167" spans="19:26" ht="15" customHeight="1" x14ac:dyDescent="0.25">
      <c r="S1167"/>
      <c r="T1167"/>
      <c r="U1167"/>
      <c r="V1167"/>
      <c r="W1167"/>
      <c r="X1167"/>
      <c r="Y1167"/>
      <c r="Z1167"/>
    </row>
    <row r="1168" spans="19:26" ht="15" customHeight="1" x14ac:dyDescent="0.25">
      <c r="S1168"/>
      <c r="T1168"/>
      <c r="U1168"/>
      <c r="V1168"/>
      <c r="W1168"/>
      <c r="X1168"/>
      <c r="Y1168"/>
      <c r="Z1168"/>
    </row>
    <row r="1169" spans="19:26" ht="15" customHeight="1" x14ac:dyDescent="0.25">
      <c r="S1169"/>
      <c r="T1169"/>
      <c r="U1169"/>
      <c r="V1169"/>
      <c r="W1169"/>
      <c r="X1169"/>
      <c r="Y1169"/>
      <c r="Z1169"/>
    </row>
    <row r="1170" spans="19:26" ht="15" customHeight="1" x14ac:dyDescent="0.25">
      <c r="S1170"/>
      <c r="T1170"/>
      <c r="U1170"/>
      <c r="V1170"/>
      <c r="W1170"/>
      <c r="X1170"/>
      <c r="Y1170"/>
      <c r="Z1170"/>
    </row>
    <row r="1171" spans="19:26" ht="15" customHeight="1" x14ac:dyDescent="0.25">
      <c r="S1171"/>
      <c r="T1171"/>
      <c r="U1171"/>
      <c r="V1171"/>
      <c r="W1171"/>
      <c r="X1171"/>
      <c r="Y1171"/>
      <c r="Z1171"/>
    </row>
    <row r="1172" spans="19:26" ht="15" customHeight="1" x14ac:dyDescent="0.25">
      <c r="S1172"/>
      <c r="T1172"/>
      <c r="U1172"/>
      <c r="V1172"/>
      <c r="W1172"/>
      <c r="X1172"/>
      <c r="Y1172"/>
      <c r="Z1172"/>
    </row>
    <row r="1173" spans="19:26" ht="15" customHeight="1" x14ac:dyDescent="0.25">
      <c r="S1173"/>
      <c r="T1173"/>
      <c r="U1173"/>
      <c r="V1173"/>
      <c r="W1173"/>
      <c r="X1173"/>
      <c r="Y1173"/>
      <c r="Z1173"/>
    </row>
    <row r="1174" spans="19:26" ht="15" customHeight="1" x14ac:dyDescent="0.25">
      <c r="S1174"/>
      <c r="T1174"/>
      <c r="U1174"/>
      <c r="V1174"/>
      <c r="W1174"/>
      <c r="X1174"/>
      <c r="Y1174"/>
      <c r="Z1174"/>
    </row>
    <row r="1175" spans="19:26" ht="15" customHeight="1" x14ac:dyDescent="0.25">
      <c r="S1175"/>
      <c r="T1175"/>
      <c r="U1175"/>
      <c r="V1175"/>
      <c r="W1175"/>
      <c r="X1175"/>
      <c r="Y1175"/>
      <c r="Z1175"/>
    </row>
    <row r="1176" spans="19:26" ht="15" customHeight="1" x14ac:dyDescent="0.25">
      <c r="S1176"/>
      <c r="T1176"/>
      <c r="U1176"/>
      <c r="V1176"/>
      <c r="W1176"/>
      <c r="X1176"/>
      <c r="Y1176"/>
      <c r="Z1176"/>
    </row>
    <row r="1177" spans="19:26" ht="15" customHeight="1" x14ac:dyDescent="0.25">
      <c r="S1177"/>
      <c r="T1177"/>
      <c r="U1177"/>
      <c r="V1177"/>
      <c r="W1177"/>
      <c r="X1177"/>
      <c r="Y1177"/>
      <c r="Z1177"/>
    </row>
    <row r="1178" spans="19:26" ht="15" customHeight="1" x14ac:dyDescent="0.25">
      <c r="S1178"/>
      <c r="T1178"/>
      <c r="U1178"/>
      <c r="V1178"/>
      <c r="W1178"/>
      <c r="X1178"/>
      <c r="Y1178"/>
      <c r="Z1178"/>
    </row>
    <row r="1179" spans="19:26" ht="15" customHeight="1" x14ac:dyDescent="0.25">
      <c r="S1179"/>
      <c r="T1179"/>
      <c r="U1179"/>
      <c r="V1179"/>
      <c r="W1179"/>
      <c r="X1179"/>
      <c r="Y1179"/>
      <c r="Z1179"/>
    </row>
    <row r="1180" spans="19:26" ht="15" customHeight="1" x14ac:dyDescent="0.25">
      <c r="S1180"/>
      <c r="T1180"/>
      <c r="U1180"/>
      <c r="V1180"/>
      <c r="W1180"/>
      <c r="X1180"/>
      <c r="Y1180"/>
      <c r="Z1180"/>
    </row>
    <row r="1181" spans="19:26" ht="15" customHeight="1" x14ac:dyDescent="0.25">
      <c r="S1181"/>
      <c r="T1181"/>
      <c r="U1181"/>
      <c r="V1181"/>
      <c r="W1181"/>
      <c r="X1181"/>
      <c r="Y1181"/>
      <c r="Z1181"/>
    </row>
    <row r="1182" spans="19:26" ht="15" customHeight="1" x14ac:dyDescent="0.25">
      <c r="S1182"/>
      <c r="T1182"/>
      <c r="U1182"/>
      <c r="V1182"/>
      <c r="W1182"/>
      <c r="X1182"/>
      <c r="Y1182"/>
      <c r="Z1182"/>
    </row>
    <row r="1183" spans="19:26" ht="15" customHeight="1" x14ac:dyDescent="0.25">
      <c r="S1183"/>
      <c r="T1183"/>
      <c r="U1183"/>
      <c r="V1183"/>
      <c r="W1183"/>
      <c r="X1183"/>
      <c r="Y1183"/>
      <c r="Z1183"/>
    </row>
    <row r="1184" spans="19:26" ht="15" customHeight="1" x14ac:dyDescent="0.25">
      <c r="S1184"/>
      <c r="T1184"/>
      <c r="U1184"/>
      <c r="V1184"/>
      <c r="W1184"/>
      <c r="X1184"/>
      <c r="Y1184"/>
      <c r="Z1184"/>
    </row>
    <row r="1185" spans="19:26" ht="15" customHeight="1" x14ac:dyDescent="0.25">
      <c r="S1185"/>
      <c r="T1185"/>
      <c r="U1185"/>
      <c r="V1185"/>
      <c r="W1185"/>
      <c r="X1185"/>
      <c r="Y1185"/>
      <c r="Z1185"/>
    </row>
    <row r="1186" spans="19:26" ht="15" customHeight="1" x14ac:dyDescent="0.25">
      <c r="S1186"/>
      <c r="T1186"/>
      <c r="U1186"/>
      <c r="V1186"/>
      <c r="W1186"/>
      <c r="X1186"/>
      <c r="Y1186"/>
      <c r="Z1186"/>
    </row>
    <row r="1187" spans="19:26" ht="15" customHeight="1" x14ac:dyDescent="0.25">
      <c r="S1187"/>
      <c r="T1187"/>
      <c r="U1187"/>
      <c r="V1187"/>
      <c r="W1187"/>
      <c r="X1187"/>
      <c r="Y1187"/>
      <c r="Z1187"/>
    </row>
    <row r="1188" spans="19:26" ht="15" customHeight="1" x14ac:dyDescent="0.25">
      <c r="S1188"/>
      <c r="T1188"/>
      <c r="U1188"/>
      <c r="V1188"/>
      <c r="W1188"/>
      <c r="X1188"/>
      <c r="Y1188"/>
      <c r="Z1188"/>
    </row>
    <row r="1189" spans="19:26" ht="15" customHeight="1" x14ac:dyDescent="0.25">
      <c r="S1189"/>
      <c r="T1189"/>
      <c r="U1189"/>
      <c r="V1189"/>
      <c r="W1189"/>
      <c r="X1189"/>
      <c r="Y1189"/>
      <c r="Z1189"/>
    </row>
    <row r="1190" spans="19:26" ht="15" customHeight="1" x14ac:dyDescent="0.25">
      <c r="S1190"/>
      <c r="T1190"/>
      <c r="U1190"/>
      <c r="V1190"/>
      <c r="W1190"/>
      <c r="X1190"/>
      <c r="Y1190"/>
      <c r="Z1190"/>
    </row>
    <row r="1191" spans="19:26" ht="15" customHeight="1" x14ac:dyDescent="0.25">
      <c r="S1191"/>
      <c r="T1191"/>
      <c r="U1191"/>
      <c r="V1191"/>
      <c r="W1191"/>
      <c r="X1191"/>
      <c r="Y1191"/>
      <c r="Z1191"/>
    </row>
    <row r="1192" spans="19:26" ht="15" customHeight="1" x14ac:dyDescent="0.25">
      <c r="S1192"/>
      <c r="T1192"/>
      <c r="U1192"/>
      <c r="V1192"/>
      <c r="W1192"/>
      <c r="X1192"/>
      <c r="Y1192"/>
      <c r="Z1192"/>
    </row>
    <row r="1193" spans="19:26" ht="15" customHeight="1" x14ac:dyDescent="0.25">
      <c r="S1193"/>
      <c r="T1193"/>
      <c r="U1193"/>
      <c r="V1193"/>
      <c r="W1193"/>
      <c r="X1193"/>
      <c r="Y1193"/>
      <c r="Z1193"/>
    </row>
    <row r="1194" spans="19:26" ht="15" customHeight="1" x14ac:dyDescent="0.25">
      <c r="S1194"/>
      <c r="T1194"/>
      <c r="U1194"/>
      <c r="V1194"/>
      <c r="W1194"/>
      <c r="X1194"/>
      <c r="Y1194"/>
      <c r="Z1194"/>
    </row>
    <row r="1195" spans="19:26" ht="15" customHeight="1" x14ac:dyDescent="0.25">
      <c r="S1195"/>
      <c r="T1195"/>
      <c r="U1195"/>
      <c r="V1195"/>
      <c r="W1195"/>
      <c r="X1195"/>
      <c r="Y1195"/>
      <c r="Z1195"/>
    </row>
    <row r="1196" spans="19:26" ht="15" customHeight="1" x14ac:dyDescent="0.25">
      <c r="S1196"/>
      <c r="T1196"/>
      <c r="U1196"/>
      <c r="V1196"/>
      <c r="W1196"/>
      <c r="X1196"/>
      <c r="Y1196"/>
      <c r="Z1196"/>
    </row>
    <row r="1197" spans="19:26" ht="15" customHeight="1" x14ac:dyDescent="0.25">
      <c r="S1197"/>
      <c r="T1197"/>
      <c r="U1197"/>
      <c r="V1197"/>
      <c r="W1197"/>
      <c r="X1197"/>
      <c r="Y1197"/>
      <c r="Z1197"/>
    </row>
    <row r="1198" spans="19:26" ht="15" customHeight="1" x14ac:dyDescent="0.25">
      <c r="S1198"/>
      <c r="T1198"/>
      <c r="U1198"/>
      <c r="V1198"/>
      <c r="W1198"/>
      <c r="X1198"/>
      <c r="Y1198"/>
      <c r="Z1198"/>
    </row>
    <row r="1199" spans="19:26" ht="15" customHeight="1" x14ac:dyDescent="0.25">
      <c r="S1199"/>
      <c r="T1199"/>
      <c r="U1199"/>
      <c r="V1199"/>
      <c r="W1199"/>
      <c r="X1199"/>
      <c r="Y1199"/>
      <c r="Z1199"/>
    </row>
    <row r="1200" spans="19:26" ht="15" customHeight="1" x14ac:dyDescent="0.25">
      <c r="S1200"/>
      <c r="T1200"/>
      <c r="U1200"/>
      <c r="V1200"/>
      <c r="W1200"/>
      <c r="X1200"/>
      <c r="Y1200"/>
      <c r="Z1200"/>
    </row>
    <row r="1201" spans="19:26" ht="15" customHeight="1" x14ac:dyDescent="0.25">
      <c r="S1201"/>
      <c r="T1201"/>
      <c r="U1201"/>
      <c r="V1201"/>
      <c r="W1201"/>
      <c r="X1201"/>
      <c r="Y1201"/>
      <c r="Z1201"/>
    </row>
    <row r="1202" spans="19:26" ht="15" customHeight="1" x14ac:dyDescent="0.25">
      <c r="S1202"/>
      <c r="T1202"/>
      <c r="U1202"/>
      <c r="V1202"/>
      <c r="W1202"/>
      <c r="X1202"/>
      <c r="Y1202"/>
      <c r="Z1202"/>
    </row>
    <row r="1203" spans="19:26" ht="15" customHeight="1" x14ac:dyDescent="0.25">
      <c r="S1203"/>
      <c r="T1203"/>
      <c r="U1203"/>
      <c r="V1203"/>
      <c r="W1203"/>
      <c r="X1203"/>
      <c r="Y1203"/>
      <c r="Z1203"/>
    </row>
    <row r="1204" spans="19:26" ht="15" customHeight="1" x14ac:dyDescent="0.25">
      <c r="S1204"/>
      <c r="T1204"/>
      <c r="U1204"/>
      <c r="V1204"/>
      <c r="W1204"/>
      <c r="X1204"/>
      <c r="Y1204"/>
      <c r="Z1204"/>
    </row>
    <row r="1205" spans="19:26" ht="15" customHeight="1" x14ac:dyDescent="0.25">
      <c r="S1205"/>
      <c r="T1205"/>
      <c r="U1205"/>
      <c r="V1205"/>
      <c r="W1205"/>
      <c r="X1205"/>
      <c r="Y1205"/>
      <c r="Z1205"/>
    </row>
    <row r="1206" spans="19:26" ht="15" customHeight="1" x14ac:dyDescent="0.25">
      <c r="S1206"/>
      <c r="T1206"/>
      <c r="U1206"/>
      <c r="V1206"/>
      <c r="W1206"/>
      <c r="X1206"/>
      <c r="Y1206"/>
      <c r="Z1206"/>
    </row>
    <row r="1207" spans="19:26" ht="15" customHeight="1" x14ac:dyDescent="0.25">
      <c r="S1207"/>
      <c r="T1207"/>
      <c r="U1207"/>
      <c r="V1207"/>
      <c r="W1207"/>
      <c r="X1207"/>
      <c r="Y1207"/>
      <c r="Z1207"/>
    </row>
    <row r="1208" spans="19:26" ht="15" customHeight="1" x14ac:dyDescent="0.25">
      <c r="S1208"/>
      <c r="T1208"/>
      <c r="U1208"/>
      <c r="V1208"/>
      <c r="W1208"/>
      <c r="X1208"/>
      <c r="Y1208"/>
      <c r="Z1208"/>
    </row>
    <row r="1209" spans="19:26" ht="15" customHeight="1" x14ac:dyDescent="0.25">
      <c r="S1209"/>
      <c r="T1209"/>
      <c r="U1209"/>
      <c r="V1209"/>
      <c r="W1209"/>
      <c r="X1209"/>
      <c r="Y1209"/>
      <c r="Z1209"/>
    </row>
    <row r="1210" spans="19:26" ht="15" customHeight="1" x14ac:dyDescent="0.25">
      <c r="S1210"/>
      <c r="T1210"/>
      <c r="U1210"/>
      <c r="V1210"/>
      <c r="W1210"/>
      <c r="X1210"/>
      <c r="Y1210"/>
      <c r="Z1210"/>
    </row>
    <row r="1211" spans="19:26" ht="15" customHeight="1" x14ac:dyDescent="0.25">
      <c r="S1211"/>
      <c r="T1211"/>
      <c r="U1211"/>
      <c r="V1211"/>
      <c r="W1211"/>
      <c r="X1211"/>
      <c r="Y1211"/>
      <c r="Z1211"/>
    </row>
    <row r="1212" spans="19:26" ht="15" customHeight="1" x14ac:dyDescent="0.25">
      <c r="S1212"/>
      <c r="T1212"/>
      <c r="U1212"/>
      <c r="V1212"/>
      <c r="W1212"/>
      <c r="X1212"/>
      <c r="Y1212"/>
      <c r="Z1212"/>
    </row>
    <row r="1213" spans="19:26" ht="15" customHeight="1" x14ac:dyDescent="0.25">
      <c r="S1213"/>
      <c r="T1213"/>
      <c r="U1213"/>
      <c r="V1213"/>
      <c r="W1213"/>
      <c r="X1213"/>
      <c r="Y1213"/>
      <c r="Z1213"/>
    </row>
    <row r="1214" spans="19:26" ht="15" customHeight="1" x14ac:dyDescent="0.25">
      <c r="S1214"/>
      <c r="T1214"/>
      <c r="U1214"/>
      <c r="V1214"/>
      <c r="W1214"/>
      <c r="X1214"/>
      <c r="Y1214"/>
      <c r="Z1214"/>
    </row>
    <row r="1215" spans="19:26" ht="15" customHeight="1" x14ac:dyDescent="0.25">
      <c r="S1215"/>
      <c r="T1215"/>
      <c r="U1215"/>
      <c r="V1215"/>
      <c r="W1215"/>
      <c r="X1215"/>
      <c r="Y1215"/>
      <c r="Z1215"/>
    </row>
    <row r="1216" spans="19:26" ht="15" customHeight="1" x14ac:dyDescent="0.25">
      <c r="S1216"/>
      <c r="T1216"/>
      <c r="U1216"/>
      <c r="V1216"/>
      <c r="W1216"/>
      <c r="X1216"/>
      <c r="Y1216"/>
      <c r="Z1216"/>
    </row>
    <row r="1217" spans="19:26" ht="15" customHeight="1" x14ac:dyDescent="0.25">
      <c r="S1217"/>
      <c r="T1217"/>
      <c r="U1217"/>
      <c r="V1217"/>
      <c r="W1217"/>
      <c r="X1217"/>
      <c r="Y1217"/>
      <c r="Z1217"/>
    </row>
    <row r="1218" spans="19:26" ht="15" customHeight="1" x14ac:dyDescent="0.25">
      <c r="S1218"/>
      <c r="T1218"/>
      <c r="U1218"/>
      <c r="V1218"/>
      <c r="W1218"/>
      <c r="X1218"/>
      <c r="Y1218"/>
      <c r="Z1218"/>
    </row>
    <row r="1219" spans="19:26" ht="15" customHeight="1" x14ac:dyDescent="0.25">
      <c r="S1219"/>
      <c r="T1219"/>
      <c r="U1219"/>
      <c r="V1219"/>
      <c r="W1219"/>
      <c r="X1219"/>
      <c r="Y1219"/>
      <c r="Z1219"/>
    </row>
    <row r="1220" spans="19:26" ht="15" customHeight="1" x14ac:dyDescent="0.25">
      <c r="S1220"/>
      <c r="T1220"/>
      <c r="U1220"/>
      <c r="V1220"/>
      <c r="W1220"/>
      <c r="X1220"/>
      <c r="Y1220"/>
      <c r="Z1220"/>
    </row>
    <row r="1221" spans="19:26" ht="15" customHeight="1" x14ac:dyDescent="0.25">
      <c r="S1221"/>
      <c r="T1221"/>
      <c r="U1221"/>
      <c r="V1221"/>
      <c r="W1221"/>
      <c r="X1221"/>
      <c r="Y1221"/>
      <c r="Z1221"/>
    </row>
    <row r="1222" spans="19:26" ht="15" customHeight="1" x14ac:dyDescent="0.25">
      <c r="S1222"/>
      <c r="T1222"/>
      <c r="U1222"/>
      <c r="V1222"/>
      <c r="W1222"/>
      <c r="X1222"/>
      <c r="Y1222"/>
      <c r="Z1222"/>
    </row>
    <row r="1223" spans="19:26" ht="15" customHeight="1" x14ac:dyDescent="0.25">
      <c r="S1223"/>
      <c r="T1223"/>
      <c r="U1223"/>
      <c r="V1223"/>
      <c r="W1223"/>
      <c r="X1223"/>
      <c r="Y1223"/>
      <c r="Z1223"/>
    </row>
    <row r="1224" spans="19:26" ht="15" customHeight="1" x14ac:dyDescent="0.25">
      <c r="S1224"/>
      <c r="T1224"/>
      <c r="U1224"/>
      <c r="V1224"/>
      <c r="W1224"/>
      <c r="X1224"/>
      <c r="Y1224"/>
      <c r="Z1224"/>
    </row>
    <row r="1225" spans="19:26" ht="15" customHeight="1" x14ac:dyDescent="0.25">
      <c r="S1225"/>
      <c r="T1225"/>
      <c r="U1225"/>
      <c r="V1225"/>
      <c r="W1225"/>
      <c r="X1225"/>
      <c r="Y1225"/>
      <c r="Z1225"/>
    </row>
    <row r="1226" spans="19:26" ht="15" customHeight="1" x14ac:dyDescent="0.25">
      <c r="S1226"/>
      <c r="T1226"/>
      <c r="U1226"/>
      <c r="V1226"/>
      <c r="W1226"/>
      <c r="X1226"/>
      <c r="Y1226"/>
      <c r="Z1226"/>
    </row>
    <row r="1227" spans="19:26" ht="15" customHeight="1" x14ac:dyDescent="0.25">
      <c r="S1227"/>
      <c r="T1227"/>
      <c r="U1227"/>
      <c r="V1227"/>
      <c r="W1227"/>
      <c r="X1227"/>
      <c r="Y1227"/>
      <c r="Z1227"/>
    </row>
    <row r="1228" spans="19:26" ht="15" customHeight="1" x14ac:dyDescent="0.25">
      <c r="S1228"/>
      <c r="T1228"/>
      <c r="U1228"/>
      <c r="V1228"/>
      <c r="W1228"/>
      <c r="X1228"/>
      <c r="Y1228"/>
      <c r="Z1228"/>
    </row>
    <row r="1229" spans="19:26" ht="15" customHeight="1" x14ac:dyDescent="0.25">
      <c r="S1229"/>
      <c r="T1229"/>
      <c r="U1229"/>
      <c r="V1229"/>
      <c r="W1229"/>
      <c r="X1229"/>
      <c r="Y1229"/>
      <c r="Z1229"/>
    </row>
    <row r="1230" spans="19:26" ht="15" customHeight="1" x14ac:dyDescent="0.25">
      <c r="S1230"/>
      <c r="T1230"/>
      <c r="U1230"/>
      <c r="V1230"/>
      <c r="W1230"/>
      <c r="X1230"/>
      <c r="Y1230"/>
      <c r="Z1230"/>
    </row>
    <row r="1231" spans="19:26" ht="15" customHeight="1" x14ac:dyDescent="0.25">
      <c r="S1231"/>
      <c r="T1231"/>
      <c r="U1231"/>
      <c r="V1231"/>
      <c r="W1231"/>
      <c r="X1231"/>
      <c r="Y1231"/>
      <c r="Z1231"/>
    </row>
    <row r="1232" spans="19:26" ht="15" customHeight="1" x14ac:dyDescent="0.25">
      <c r="S1232"/>
      <c r="T1232"/>
      <c r="U1232"/>
      <c r="V1232"/>
      <c r="W1232"/>
      <c r="X1232"/>
      <c r="Y1232"/>
      <c r="Z1232"/>
    </row>
    <row r="1233" spans="19:26" ht="15" customHeight="1" x14ac:dyDescent="0.25">
      <c r="S1233"/>
      <c r="T1233"/>
      <c r="U1233"/>
      <c r="V1233"/>
      <c r="W1233"/>
      <c r="X1233"/>
      <c r="Y1233"/>
      <c r="Z1233"/>
    </row>
    <row r="1234" spans="19:26" ht="15" customHeight="1" x14ac:dyDescent="0.25">
      <c r="S1234"/>
      <c r="T1234"/>
      <c r="U1234"/>
      <c r="V1234"/>
      <c r="W1234"/>
      <c r="X1234"/>
      <c r="Y1234"/>
      <c r="Z1234"/>
    </row>
    <row r="1235" spans="19:26" ht="15" customHeight="1" x14ac:dyDescent="0.25">
      <c r="S1235"/>
      <c r="T1235"/>
      <c r="U1235"/>
      <c r="V1235"/>
      <c r="W1235"/>
      <c r="X1235"/>
      <c r="Y1235"/>
      <c r="Z1235"/>
    </row>
    <row r="1236" spans="19:26" ht="15" customHeight="1" x14ac:dyDescent="0.25">
      <c r="S1236"/>
      <c r="T1236"/>
      <c r="U1236"/>
      <c r="V1236"/>
      <c r="W1236"/>
      <c r="X1236"/>
      <c r="Y1236"/>
      <c r="Z1236"/>
    </row>
    <row r="1237" spans="19:26" ht="15" customHeight="1" x14ac:dyDescent="0.25">
      <c r="S1237"/>
      <c r="T1237"/>
      <c r="U1237"/>
      <c r="V1237"/>
      <c r="W1237"/>
      <c r="X1237"/>
      <c r="Y1237"/>
      <c r="Z1237"/>
    </row>
    <row r="1238" spans="19:26" ht="15" customHeight="1" x14ac:dyDescent="0.25">
      <c r="S1238"/>
      <c r="T1238"/>
      <c r="U1238"/>
      <c r="V1238"/>
      <c r="W1238"/>
      <c r="X1238"/>
      <c r="Y1238"/>
      <c r="Z1238"/>
    </row>
    <row r="1239" spans="19:26" ht="15" customHeight="1" x14ac:dyDescent="0.25">
      <c r="S1239"/>
      <c r="T1239"/>
      <c r="U1239"/>
      <c r="V1239"/>
      <c r="W1239"/>
      <c r="X1239"/>
      <c r="Y1239"/>
      <c r="Z1239"/>
    </row>
    <row r="1240" spans="19:26" ht="15" customHeight="1" x14ac:dyDescent="0.25">
      <c r="S1240"/>
      <c r="T1240"/>
      <c r="U1240"/>
      <c r="V1240"/>
      <c r="W1240"/>
      <c r="X1240"/>
      <c r="Y1240"/>
      <c r="Z1240"/>
    </row>
    <row r="1241" spans="19:26" ht="15" customHeight="1" x14ac:dyDescent="0.25">
      <c r="S1241"/>
      <c r="T1241"/>
      <c r="U1241"/>
      <c r="V1241"/>
      <c r="W1241"/>
      <c r="X1241"/>
      <c r="Y1241"/>
      <c r="Z1241"/>
    </row>
    <row r="1242" spans="19:26" ht="15" customHeight="1" x14ac:dyDescent="0.25">
      <c r="S1242"/>
      <c r="T1242"/>
      <c r="U1242"/>
      <c r="V1242"/>
      <c r="W1242"/>
      <c r="X1242"/>
      <c r="Y1242"/>
      <c r="Z1242"/>
    </row>
    <row r="1243" spans="19:26" ht="15" customHeight="1" x14ac:dyDescent="0.25">
      <c r="S1243"/>
      <c r="T1243"/>
      <c r="U1243"/>
      <c r="V1243"/>
      <c r="W1243"/>
      <c r="X1243"/>
      <c r="Y1243"/>
      <c r="Z1243"/>
    </row>
    <row r="1244" spans="19:26" ht="15" customHeight="1" x14ac:dyDescent="0.25">
      <c r="S1244"/>
      <c r="T1244"/>
      <c r="U1244"/>
      <c r="V1244"/>
      <c r="W1244"/>
      <c r="X1244"/>
      <c r="Y1244"/>
      <c r="Z1244"/>
    </row>
    <row r="1245" spans="19:26" ht="15" customHeight="1" x14ac:dyDescent="0.25">
      <c r="S1245"/>
      <c r="T1245"/>
      <c r="U1245"/>
      <c r="V1245"/>
      <c r="W1245"/>
      <c r="X1245"/>
      <c r="Y1245"/>
      <c r="Z1245"/>
    </row>
    <row r="1246" spans="19:26" ht="15" customHeight="1" x14ac:dyDescent="0.25">
      <c r="S1246"/>
      <c r="T1246"/>
      <c r="U1246"/>
      <c r="V1246"/>
      <c r="W1246"/>
      <c r="X1246"/>
      <c r="Y1246"/>
      <c r="Z1246"/>
    </row>
    <row r="1247" spans="19:26" ht="15" customHeight="1" x14ac:dyDescent="0.25">
      <c r="S1247"/>
      <c r="T1247"/>
      <c r="U1247"/>
      <c r="V1247"/>
      <c r="W1247"/>
      <c r="X1247"/>
      <c r="Y1247"/>
      <c r="Z1247"/>
    </row>
    <row r="1248" spans="19:26" ht="15" customHeight="1" x14ac:dyDescent="0.25">
      <c r="S1248"/>
      <c r="T1248"/>
      <c r="U1248"/>
      <c r="V1248"/>
      <c r="W1248"/>
      <c r="X1248"/>
      <c r="Y1248"/>
      <c r="Z1248"/>
    </row>
    <row r="1249" spans="19:26" ht="15" customHeight="1" x14ac:dyDescent="0.25">
      <c r="S1249"/>
      <c r="T1249"/>
      <c r="U1249"/>
      <c r="V1249"/>
      <c r="W1249"/>
      <c r="X1249"/>
      <c r="Y1249"/>
      <c r="Z1249"/>
    </row>
    <row r="1250" spans="19:26" ht="15" customHeight="1" x14ac:dyDescent="0.25">
      <c r="S1250"/>
      <c r="T1250"/>
      <c r="U1250"/>
      <c r="V1250"/>
      <c r="W1250"/>
      <c r="X1250"/>
      <c r="Y1250"/>
      <c r="Z1250"/>
    </row>
    <row r="1251" spans="19:26" ht="15" customHeight="1" x14ac:dyDescent="0.25">
      <c r="S1251"/>
      <c r="T1251"/>
      <c r="U1251"/>
      <c r="V1251"/>
      <c r="W1251"/>
      <c r="X1251"/>
      <c r="Y1251"/>
      <c r="Z1251"/>
    </row>
    <row r="1252" spans="19:26" ht="15" customHeight="1" x14ac:dyDescent="0.25">
      <c r="S1252"/>
      <c r="T1252"/>
      <c r="U1252"/>
      <c r="V1252"/>
      <c r="W1252"/>
      <c r="X1252"/>
      <c r="Y1252"/>
      <c r="Z1252"/>
    </row>
    <row r="1253" spans="19:26" ht="15" customHeight="1" x14ac:dyDescent="0.25">
      <c r="S1253"/>
      <c r="T1253"/>
      <c r="U1253"/>
      <c r="V1253"/>
      <c r="W1253"/>
      <c r="X1253"/>
      <c r="Y1253"/>
      <c r="Z1253"/>
    </row>
    <row r="1254" spans="19:26" ht="15" customHeight="1" x14ac:dyDescent="0.25">
      <c r="S1254"/>
      <c r="T1254"/>
      <c r="U1254"/>
      <c r="V1254"/>
      <c r="W1254"/>
      <c r="X1254"/>
      <c r="Y1254"/>
      <c r="Z1254"/>
    </row>
    <row r="1255" spans="19:26" ht="15" customHeight="1" x14ac:dyDescent="0.25">
      <c r="S1255"/>
      <c r="T1255"/>
      <c r="U1255"/>
      <c r="V1255"/>
      <c r="W1255"/>
      <c r="X1255"/>
      <c r="Y1255"/>
      <c r="Z1255"/>
    </row>
    <row r="1256" spans="19:26" ht="15" customHeight="1" x14ac:dyDescent="0.25">
      <c r="S1256"/>
      <c r="T1256"/>
      <c r="U1256"/>
      <c r="V1256"/>
      <c r="W1256"/>
      <c r="X1256"/>
      <c r="Y1256"/>
      <c r="Z1256"/>
    </row>
    <row r="1257" spans="19:26" ht="15" customHeight="1" x14ac:dyDescent="0.25">
      <c r="S1257"/>
      <c r="T1257"/>
      <c r="U1257"/>
      <c r="V1257"/>
      <c r="W1257"/>
      <c r="X1257"/>
      <c r="Y1257"/>
      <c r="Z1257"/>
    </row>
    <row r="1258" spans="19:26" ht="15" customHeight="1" x14ac:dyDescent="0.25">
      <c r="S1258"/>
      <c r="T1258"/>
      <c r="U1258"/>
      <c r="V1258"/>
      <c r="W1258"/>
      <c r="X1258"/>
      <c r="Y1258"/>
      <c r="Z1258"/>
    </row>
    <row r="1259" spans="19:26" ht="15" customHeight="1" x14ac:dyDescent="0.25">
      <c r="S1259"/>
      <c r="T1259"/>
      <c r="U1259"/>
      <c r="V1259"/>
      <c r="W1259"/>
      <c r="X1259"/>
      <c r="Y1259"/>
      <c r="Z1259"/>
    </row>
    <row r="1260" spans="19:26" ht="15" customHeight="1" x14ac:dyDescent="0.25">
      <c r="S1260"/>
      <c r="T1260"/>
      <c r="U1260"/>
      <c r="V1260"/>
      <c r="W1260"/>
      <c r="X1260"/>
      <c r="Y1260"/>
      <c r="Z1260"/>
    </row>
    <row r="1261" spans="19:26" ht="15" customHeight="1" x14ac:dyDescent="0.25">
      <c r="S1261"/>
      <c r="T1261"/>
      <c r="U1261"/>
      <c r="V1261"/>
      <c r="W1261"/>
      <c r="X1261"/>
      <c r="Y1261"/>
      <c r="Z1261"/>
    </row>
    <row r="1262" spans="19:26" ht="15" customHeight="1" x14ac:dyDescent="0.25">
      <c r="S1262"/>
      <c r="T1262"/>
      <c r="U1262"/>
      <c r="V1262"/>
      <c r="W1262"/>
      <c r="X1262"/>
      <c r="Y1262"/>
      <c r="Z1262"/>
    </row>
    <row r="1263" spans="19:26" ht="15" customHeight="1" x14ac:dyDescent="0.25">
      <c r="S1263"/>
      <c r="T1263"/>
      <c r="U1263"/>
      <c r="V1263"/>
      <c r="W1263"/>
      <c r="X1263"/>
      <c r="Y1263"/>
      <c r="Z1263"/>
    </row>
    <row r="1264" spans="19:26" ht="15" customHeight="1" x14ac:dyDescent="0.25">
      <c r="S1264"/>
      <c r="T1264"/>
      <c r="U1264"/>
      <c r="V1264"/>
      <c r="W1264"/>
      <c r="X1264"/>
      <c r="Y1264"/>
      <c r="Z1264"/>
    </row>
    <row r="1265" spans="19:26" ht="15" customHeight="1" x14ac:dyDescent="0.25">
      <c r="S1265"/>
      <c r="T1265"/>
      <c r="U1265"/>
      <c r="V1265"/>
      <c r="W1265"/>
      <c r="X1265"/>
      <c r="Y1265"/>
      <c r="Z1265"/>
    </row>
    <row r="1266" spans="19:26" ht="15" customHeight="1" x14ac:dyDescent="0.25">
      <c r="S1266"/>
      <c r="T1266"/>
      <c r="U1266"/>
      <c r="V1266"/>
      <c r="W1266"/>
      <c r="X1266"/>
      <c r="Y1266"/>
      <c r="Z1266"/>
    </row>
    <row r="1267" spans="19:26" ht="15" customHeight="1" x14ac:dyDescent="0.25">
      <c r="S1267"/>
      <c r="T1267"/>
      <c r="U1267"/>
      <c r="V1267"/>
      <c r="W1267"/>
      <c r="X1267"/>
      <c r="Y1267"/>
      <c r="Z1267"/>
    </row>
    <row r="1268" spans="19:26" ht="15" customHeight="1" x14ac:dyDescent="0.25">
      <c r="S1268"/>
      <c r="T1268"/>
      <c r="U1268"/>
      <c r="V1268"/>
      <c r="W1268"/>
      <c r="X1268"/>
      <c r="Y1268"/>
      <c r="Z1268"/>
    </row>
    <row r="1269" spans="19:26" ht="15" customHeight="1" x14ac:dyDescent="0.25">
      <c r="S1269"/>
      <c r="T1269"/>
      <c r="U1269"/>
      <c r="V1269"/>
      <c r="W1269"/>
      <c r="X1269"/>
      <c r="Y1269"/>
      <c r="Z1269"/>
    </row>
    <row r="1270" spans="19:26" ht="15" customHeight="1" x14ac:dyDescent="0.25">
      <c r="S1270"/>
      <c r="T1270"/>
      <c r="U1270"/>
      <c r="V1270"/>
      <c r="W1270"/>
      <c r="X1270"/>
      <c r="Y1270"/>
      <c r="Z1270"/>
    </row>
    <row r="1271" spans="19:26" ht="15" customHeight="1" x14ac:dyDescent="0.25">
      <c r="S1271"/>
      <c r="T1271"/>
      <c r="U1271"/>
      <c r="V1271"/>
      <c r="W1271"/>
      <c r="X1271"/>
      <c r="Y1271"/>
      <c r="Z1271"/>
    </row>
    <row r="1272" spans="19:26" ht="15" customHeight="1" x14ac:dyDescent="0.25">
      <c r="S1272"/>
      <c r="T1272"/>
      <c r="U1272"/>
      <c r="V1272"/>
      <c r="W1272"/>
      <c r="X1272"/>
      <c r="Y1272"/>
      <c r="Z1272"/>
    </row>
    <row r="1273" spans="19:26" ht="15" customHeight="1" x14ac:dyDescent="0.25">
      <c r="S1273"/>
      <c r="T1273"/>
      <c r="U1273"/>
      <c r="V1273"/>
      <c r="W1273"/>
      <c r="X1273"/>
      <c r="Y1273"/>
      <c r="Z1273"/>
    </row>
    <row r="1274" spans="19:26" ht="15" customHeight="1" x14ac:dyDescent="0.25">
      <c r="S1274"/>
      <c r="T1274"/>
      <c r="U1274"/>
      <c r="V1274"/>
      <c r="W1274"/>
      <c r="X1274"/>
      <c r="Y1274"/>
      <c r="Z1274"/>
    </row>
    <row r="1275" spans="19:26" ht="15" customHeight="1" x14ac:dyDescent="0.25">
      <c r="S1275"/>
      <c r="T1275"/>
      <c r="U1275"/>
      <c r="V1275"/>
      <c r="W1275"/>
      <c r="X1275"/>
      <c r="Y1275"/>
      <c r="Z1275"/>
    </row>
    <row r="1276" spans="19:26" ht="15" customHeight="1" x14ac:dyDescent="0.25">
      <c r="S1276"/>
      <c r="T1276"/>
      <c r="U1276"/>
      <c r="V1276"/>
      <c r="W1276"/>
      <c r="X1276"/>
      <c r="Y1276"/>
      <c r="Z1276"/>
    </row>
    <row r="1277" spans="19:26" ht="15" customHeight="1" x14ac:dyDescent="0.25">
      <c r="S1277"/>
      <c r="T1277"/>
      <c r="U1277"/>
      <c r="V1277"/>
      <c r="W1277"/>
      <c r="X1277"/>
      <c r="Y1277"/>
      <c r="Z1277"/>
    </row>
    <row r="1278" spans="19:26" ht="15" customHeight="1" x14ac:dyDescent="0.25">
      <c r="S1278"/>
      <c r="T1278"/>
      <c r="U1278"/>
      <c r="V1278"/>
      <c r="W1278"/>
      <c r="X1278"/>
      <c r="Y1278"/>
      <c r="Z1278"/>
    </row>
    <row r="1279" spans="19:26" ht="15" customHeight="1" x14ac:dyDescent="0.25">
      <c r="S1279"/>
      <c r="T1279"/>
      <c r="U1279"/>
      <c r="V1279"/>
      <c r="W1279"/>
      <c r="X1279"/>
      <c r="Y1279"/>
      <c r="Z1279"/>
    </row>
    <row r="1280" spans="19:26" ht="15" customHeight="1" x14ac:dyDescent="0.25">
      <c r="S1280"/>
      <c r="T1280"/>
      <c r="U1280"/>
      <c r="V1280"/>
      <c r="W1280"/>
      <c r="X1280"/>
      <c r="Y1280"/>
      <c r="Z1280"/>
    </row>
    <row r="1281" spans="19:26" ht="15" customHeight="1" x14ac:dyDescent="0.25">
      <c r="S1281"/>
      <c r="T1281"/>
      <c r="U1281"/>
      <c r="V1281"/>
      <c r="W1281"/>
      <c r="X1281"/>
      <c r="Y1281"/>
      <c r="Z1281"/>
    </row>
    <row r="1282" spans="19:26" ht="15" customHeight="1" x14ac:dyDescent="0.25">
      <c r="S1282"/>
      <c r="T1282"/>
      <c r="U1282"/>
      <c r="V1282"/>
      <c r="W1282"/>
      <c r="X1282"/>
      <c r="Y1282"/>
      <c r="Z1282"/>
    </row>
    <row r="1283" spans="19:26" ht="15" customHeight="1" x14ac:dyDescent="0.25">
      <c r="S1283"/>
      <c r="T1283"/>
      <c r="U1283"/>
      <c r="V1283"/>
      <c r="W1283"/>
      <c r="X1283"/>
      <c r="Y1283"/>
      <c r="Z1283"/>
    </row>
    <row r="1284" spans="19:26" ht="15" customHeight="1" x14ac:dyDescent="0.25">
      <c r="S1284"/>
      <c r="T1284"/>
      <c r="U1284"/>
      <c r="V1284"/>
      <c r="W1284"/>
      <c r="X1284"/>
      <c r="Y1284"/>
      <c r="Z1284"/>
    </row>
    <row r="1285" spans="19:26" ht="15" customHeight="1" x14ac:dyDescent="0.25">
      <c r="S1285"/>
      <c r="T1285"/>
      <c r="U1285"/>
      <c r="V1285"/>
      <c r="W1285"/>
      <c r="X1285"/>
      <c r="Y1285"/>
      <c r="Z1285"/>
    </row>
    <row r="1286" spans="19:26" ht="15" customHeight="1" x14ac:dyDescent="0.25">
      <c r="S1286"/>
      <c r="T1286"/>
      <c r="U1286"/>
      <c r="V1286"/>
      <c r="W1286"/>
      <c r="X1286"/>
      <c r="Y1286"/>
      <c r="Z1286"/>
    </row>
    <row r="1287" spans="19:26" ht="15" customHeight="1" x14ac:dyDescent="0.25">
      <c r="S1287"/>
      <c r="T1287"/>
      <c r="U1287"/>
      <c r="V1287"/>
      <c r="W1287"/>
      <c r="X1287"/>
      <c r="Y1287"/>
      <c r="Z1287"/>
    </row>
    <row r="1288" spans="19:26" ht="15" customHeight="1" x14ac:dyDescent="0.25">
      <c r="S1288"/>
      <c r="T1288"/>
      <c r="U1288"/>
      <c r="V1288"/>
      <c r="W1288"/>
      <c r="X1288"/>
      <c r="Y1288"/>
      <c r="Z1288"/>
    </row>
    <row r="1289" spans="19:26" ht="15" customHeight="1" x14ac:dyDescent="0.25">
      <c r="S1289"/>
      <c r="T1289"/>
      <c r="U1289"/>
      <c r="V1289"/>
      <c r="W1289"/>
      <c r="X1289"/>
      <c r="Y1289"/>
      <c r="Z1289"/>
    </row>
    <row r="1290" spans="19:26" ht="15" customHeight="1" x14ac:dyDescent="0.25">
      <c r="S1290"/>
      <c r="T1290"/>
      <c r="U1290"/>
      <c r="V1290"/>
      <c r="W1290"/>
      <c r="X1290"/>
      <c r="Y1290"/>
      <c r="Z1290"/>
    </row>
    <row r="1291" spans="19:26" ht="15" customHeight="1" x14ac:dyDescent="0.25">
      <c r="S1291"/>
      <c r="T1291"/>
      <c r="U1291"/>
      <c r="V1291"/>
      <c r="W1291"/>
      <c r="X1291"/>
      <c r="Y1291"/>
      <c r="Z1291"/>
    </row>
    <row r="1292" spans="19:26" ht="15" customHeight="1" x14ac:dyDescent="0.25">
      <c r="S1292"/>
      <c r="T1292"/>
      <c r="U1292"/>
      <c r="V1292"/>
      <c r="W1292"/>
      <c r="X1292"/>
      <c r="Y1292"/>
      <c r="Z1292"/>
    </row>
    <row r="1293" spans="19:26" ht="15" customHeight="1" x14ac:dyDescent="0.25">
      <c r="S1293"/>
      <c r="T1293"/>
      <c r="U1293"/>
      <c r="V1293"/>
      <c r="W1293"/>
      <c r="X1293"/>
      <c r="Y1293"/>
      <c r="Z1293"/>
    </row>
    <row r="1294" spans="19:26" ht="15" customHeight="1" x14ac:dyDescent="0.25">
      <c r="S1294"/>
      <c r="T1294"/>
      <c r="U1294"/>
      <c r="V1294"/>
      <c r="W1294"/>
      <c r="X1294"/>
      <c r="Y1294"/>
      <c r="Z1294"/>
    </row>
    <row r="1295" spans="19:26" ht="15" customHeight="1" x14ac:dyDescent="0.25">
      <c r="S1295"/>
      <c r="T1295"/>
      <c r="U1295"/>
      <c r="V1295"/>
      <c r="W1295"/>
      <c r="X1295"/>
      <c r="Y1295"/>
      <c r="Z1295"/>
    </row>
    <row r="1296" spans="19:26" ht="15" customHeight="1" x14ac:dyDescent="0.25">
      <c r="S1296"/>
      <c r="T1296"/>
      <c r="U1296"/>
      <c r="V1296"/>
      <c r="W1296"/>
      <c r="X1296"/>
      <c r="Y1296"/>
      <c r="Z1296"/>
    </row>
    <row r="1297" spans="19:26" ht="15" customHeight="1" x14ac:dyDescent="0.25">
      <c r="S1297"/>
      <c r="T1297"/>
      <c r="U1297"/>
      <c r="V1297"/>
      <c r="W1297"/>
      <c r="X1297"/>
      <c r="Y1297"/>
      <c r="Z1297"/>
    </row>
    <row r="1298" spans="19:26" ht="15" customHeight="1" x14ac:dyDescent="0.25">
      <c r="S1298"/>
      <c r="T1298"/>
      <c r="U1298"/>
      <c r="V1298"/>
      <c r="W1298"/>
      <c r="X1298"/>
      <c r="Y1298"/>
      <c r="Z1298"/>
    </row>
    <row r="1299" spans="19:26" ht="15" customHeight="1" x14ac:dyDescent="0.25">
      <c r="S1299"/>
      <c r="T1299"/>
      <c r="U1299"/>
      <c r="V1299"/>
      <c r="W1299"/>
      <c r="X1299"/>
      <c r="Y1299"/>
      <c r="Z1299"/>
    </row>
    <row r="1300" spans="19:26" ht="15" customHeight="1" x14ac:dyDescent="0.25">
      <c r="S1300"/>
      <c r="T1300"/>
      <c r="U1300"/>
      <c r="V1300"/>
      <c r="W1300"/>
      <c r="X1300"/>
      <c r="Y1300"/>
      <c r="Z1300"/>
    </row>
    <row r="1301" spans="19:26" ht="15" customHeight="1" x14ac:dyDescent="0.25">
      <c r="S1301"/>
      <c r="T1301"/>
      <c r="U1301"/>
      <c r="V1301"/>
      <c r="W1301"/>
      <c r="X1301"/>
      <c r="Y1301"/>
      <c r="Z1301"/>
    </row>
    <row r="1302" spans="19:26" ht="15" customHeight="1" x14ac:dyDescent="0.25">
      <c r="S1302"/>
      <c r="T1302"/>
      <c r="U1302"/>
      <c r="V1302"/>
      <c r="W1302"/>
      <c r="X1302"/>
      <c r="Y1302"/>
      <c r="Z1302"/>
    </row>
    <row r="1303" spans="19:26" ht="15" customHeight="1" x14ac:dyDescent="0.25">
      <c r="S1303"/>
      <c r="T1303"/>
      <c r="U1303"/>
      <c r="V1303"/>
      <c r="W1303"/>
      <c r="X1303"/>
      <c r="Y1303"/>
      <c r="Z1303"/>
    </row>
    <row r="1304" spans="19:26" ht="15" customHeight="1" x14ac:dyDescent="0.25">
      <c r="S1304"/>
      <c r="T1304"/>
      <c r="U1304"/>
      <c r="V1304"/>
      <c r="W1304"/>
      <c r="X1304"/>
      <c r="Y1304"/>
      <c r="Z1304"/>
    </row>
    <row r="1305" spans="19:26" ht="15" customHeight="1" x14ac:dyDescent="0.25">
      <c r="S1305"/>
      <c r="T1305"/>
      <c r="U1305"/>
      <c r="V1305"/>
      <c r="W1305"/>
      <c r="X1305"/>
      <c r="Y1305"/>
      <c r="Z1305"/>
    </row>
    <row r="1306" spans="19:26" ht="15" customHeight="1" x14ac:dyDescent="0.25">
      <c r="S1306"/>
      <c r="T1306"/>
      <c r="U1306"/>
      <c r="V1306"/>
      <c r="W1306"/>
      <c r="X1306"/>
      <c r="Y1306"/>
      <c r="Z1306"/>
    </row>
    <row r="1307" spans="19:26" ht="15" customHeight="1" x14ac:dyDescent="0.25">
      <c r="S1307"/>
      <c r="T1307"/>
      <c r="U1307"/>
      <c r="V1307"/>
      <c r="W1307"/>
      <c r="X1307"/>
      <c r="Y1307"/>
      <c r="Z1307"/>
    </row>
    <row r="1308" spans="19:26" ht="15" customHeight="1" x14ac:dyDescent="0.25">
      <c r="S1308"/>
      <c r="T1308"/>
      <c r="U1308"/>
      <c r="V1308"/>
      <c r="W1308"/>
      <c r="X1308"/>
      <c r="Y1308"/>
      <c r="Z1308"/>
    </row>
    <row r="1309" spans="19:26" ht="15" customHeight="1" x14ac:dyDescent="0.25">
      <c r="S1309"/>
      <c r="T1309"/>
      <c r="U1309"/>
      <c r="V1309"/>
      <c r="W1309"/>
      <c r="X1309"/>
      <c r="Y1309"/>
      <c r="Z1309"/>
    </row>
    <row r="1310" spans="19:26" ht="15" customHeight="1" x14ac:dyDescent="0.25">
      <c r="S1310"/>
      <c r="T1310"/>
      <c r="U1310"/>
      <c r="V1310"/>
      <c r="W1310"/>
      <c r="X1310"/>
      <c r="Y1310"/>
      <c r="Z1310"/>
    </row>
    <row r="1311" spans="19:26" ht="15" customHeight="1" x14ac:dyDescent="0.25">
      <c r="S1311"/>
      <c r="T1311"/>
      <c r="U1311"/>
      <c r="V1311"/>
      <c r="W1311"/>
      <c r="X1311"/>
      <c r="Y1311"/>
      <c r="Z1311"/>
    </row>
    <row r="1312" spans="19:26" ht="15" customHeight="1" x14ac:dyDescent="0.25">
      <c r="S1312"/>
      <c r="T1312"/>
      <c r="U1312"/>
      <c r="V1312"/>
      <c r="W1312"/>
      <c r="X1312"/>
      <c r="Y1312"/>
      <c r="Z1312"/>
    </row>
    <row r="1313" spans="19:26" ht="15" customHeight="1" x14ac:dyDescent="0.25">
      <c r="S1313"/>
      <c r="T1313"/>
      <c r="U1313"/>
      <c r="V1313"/>
      <c r="W1313"/>
      <c r="X1313"/>
      <c r="Y1313"/>
      <c r="Z1313"/>
    </row>
    <row r="1314" spans="19:26" ht="15" customHeight="1" x14ac:dyDescent="0.25">
      <c r="S1314"/>
      <c r="T1314"/>
      <c r="U1314"/>
      <c r="V1314"/>
      <c r="W1314"/>
      <c r="X1314"/>
      <c r="Y1314"/>
      <c r="Z1314"/>
    </row>
    <row r="1315" spans="19:26" ht="15" customHeight="1" x14ac:dyDescent="0.25">
      <c r="S1315"/>
      <c r="T1315"/>
      <c r="U1315"/>
      <c r="V1315"/>
      <c r="W1315"/>
      <c r="X1315"/>
      <c r="Y1315"/>
      <c r="Z1315"/>
    </row>
    <row r="1316" spans="19:26" ht="15" customHeight="1" x14ac:dyDescent="0.25">
      <c r="S1316"/>
      <c r="T1316"/>
      <c r="U1316"/>
      <c r="V1316"/>
      <c r="W1316"/>
      <c r="X1316"/>
      <c r="Y1316"/>
      <c r="Z1316"/>
    </row>
    <row r="1317" spans="19:26" ht="15" customHeight="1" x14ac:dyDescent="0.25">
      <c r="S1317"/>
      <c r="T1317"/>
      <c r="U1317"/>
      <c r="V1317"/>
      <c r="W1317"/>
      <c r="X1317"/>
      <c r="Y1317"/>
      <c r="Z1317"/>
    </row>
    <row r="1318" spans="19:26" ht="15" customHeight="1" x14ac:dyDescent="0.25">
      <c r="S1318"/>
      <c r="T1318"/>
      <c r="U1318"/>
      <c r="V1318"/>
      <c r="W1318"/>
      <c r="X1318"/>
      <c r="Y1318"/>
      <c r="Z1318"/>
    </row>
    <row r="1319" spans="19:26" ht="15" customHeight="1" x14ac:dyDescent="0.25">
      <c r="S1319"/>
      <c r="T1319"/>
      <c r="U1319"/>
      <c r="V1319"/>
      <c r="W1319"/>
      <c r="X1319"/>
      <c r="Y1319"/>
      <c r="Z1319"/>
    </row>
    <row r="1320" spans="19:26" ht="15" customHeight="1" x14ac:dyDescent="0.25">
      <c r="S1320"/>
      <c r="T1320"/>
      <c r="U1320"/>
      <c r="V1320"/>
      <c r="W1320"/>
      <c r="X1320"/>
      <c r="Y1320"/>
      <c r="Z1320"/>
    </row>
    <row r="1321" spans="19:26" ht="15" customHeight="1" x14ac:dyDescent="0.25">
      <c r="S1321"/>
      <c r="T1321"/>
      <c r="U1321"/>
      <c r="V1321"/>
      <c r="W1321"/>
      <c r="X1321"/>
      <c r="Y1321"/>
      <c r="Z1321"/>
    </row>
    <row r="1322" spans="19:26" ht="15" customHeight="1" x14ac:dyDescent="0.25">
      <c r="S1322"/>
      <c r="T1322"/>
      <c r="U1322"/>
      <c r="V1322"/>
      <c r="W1322"/>
      <c r="X1322"/>
      <c r="Y1322"/>
      <c r="Z1322"/>
    </row>
    <row r="1323" spans="19:26" ht="15" customHeight="1" x14ac:dyDescent="0.25">
      <c r="S1323"/>
      <c r="T1323"/>
      <c r="U1323"/>
      <c r="V1323"/>
      <c r="W1323"/>
      <c r="X1323"/>
      <c r="Y1323"/>
      <c r="Z1323"/>
    </row>
    <row r="1324" spans="19:26" ht="15" customHeight="1" x14ac:dyDescent="0.25">
      <c r="S1324"/>
      <c r="T1324"/>
      <c r="U1324"/>
      <c r="V1324"/>
      <c r="W1324"/>
      <c r="X1324"/>
      <c r="Y1324"/>
      <c r="Z1324"/>
    </row>
    <row r="1325" spans="19:26" ht="15" customHeight="1" x14ac:dyDescent="0.25">
      <c r="S1325"/>
      <c r="T1325"/>
      <c r="U1325"/>
      <c r="V1325"/>
      <c r="W1325"/>
      <c r="X1325"/>
      <c r="Y1325"/>
      <c r="Z1325"/>
    </row>
    <row r="1326" spans="19:26" ht="15" customHeight="1" x14ac:dyDescent="0.25">
      <c r="S1326"/>
      <c r="T1326"/>
      <c r="U1326"/>
      <c r="V1326"/>
      <c r="W1326"/>
      <c r="X1326"/>
      <c r="Y1326"/>
      <c r="Z1326"/>
    </row>
    <row r="1327" spans="19:26" ht="15" customHeight="1" x14ac:dyDescent="0.25">
      <c r="S1327"/>
      <c r="T1327"/>
      <c r="U1327"/>
      <c r="V1327"/>
      <c r="W1327"/>
      <c r="X1327"/>
      <c r="Y1327"/>
      <c r="Z1327"/>
    </row>
    <row r="1328" spans="19:26" ht="15" customHeight="1" x14ac:dyDescent="0.25">
      <c r="S1328"/>
      <c r="T1328"/>
      <c r="U1328"/>
      <c r="V1328"/>
      <c r="W1328"/>
      <c r="X1328"/>
      <c r="Y1328"/>
      <c r="Z1328"/>
    </row>
    <row r="1329" spans="19:26" ht="15" customHeight="1" x14ac:dyDescent="0.25">
      <c r="S1329"/>
      <c r="T1329"/>
      <c r="U1329"/>
      <c r="V1329"/>
      <c r="W1329"/>
      <c r="X1329"/>
      <c r="Y1329"/>
      <c r="Z1329"/>
    </row>
    <row r="1330" spans="19:26" ht="15" customHeight="1" x14ac:dyDescent="0.25">
      <c r="S1330"/>
      <c r="T1330"/>
      <c r="U1330"/>
      <c r="V1330"/>
      <c r="W1330"/>
      <c r="X1330"/>
      <c r="Y1330"/>
      <c r="Z1330"/>
    </row>
    <row r="1331" spans="19:26" ht="15" customHeight="1" x14ac:dyDescent="0.25">
      <c r="S1331"/>
      <c r="T1331"/>
      <c r="U1331"/>
      <c r="V1331"/>
      <c r="W1331"/>
      <c r="X1331"/>
      <c r="Y1331"/>
      <c r="Z1331"/>
    </row>
    <row r="1332" spans="19:26" ht="15" customHeight="1" x14ac:dyDescent="0.25">
      <c r="S1332"/>
      <c r="T1332"/>
      <c r="U1332"/>
      <c r="V1332"/>
      <c r="W1332"/>
      <c r="X1332"/>
      <c r="Y1332"/>
      <c r="Z1332"/>
    </row>
    <row r="1333" spans="19:26" ht="15" customHeight="1" x14ac:dyDescent="0.25">
      <c r="S1333"/>
      <c r="T1333"/>
      <c r="U1333"/>
      <c r="V1333"/>
      <c r="W1333"/>
      <c r="X1333"/>
      <c r="Y1333"/>
      <c r="Z1333"/>
    </row>
    <row r="1334" spans="19:26" ht="15" customHeight="1" x14ac:dyDescent="0.25">
      <c r="S1334"/>
      <c r="T1334"/>
      <c r="U1334"/>
      <c r="V1334"/>
      <c r="W1334"/>
      <c r="X1334"/>
      <c r="Y1334"/>
      <c r="Z1334"/>
    </row>
    <row r="1335" spans="19:26" ht="15" customHeight="1" x14ac:dyDescent="0.25">
      <c r="S1335"/>
      <c r="T1335"/>
      <c r="U1335"/>
      <c r="V1335"/>
      <c r="W1335"/>
      <c r="X1335"/>
      <c r="Y1335"/>
      <c r="Z1335"/>
    </row>
    <row r="1336" spans="19:26" ht="15" customHeight="1" x14ac:dyDescent="0.25">
      <c r="S1336"/>
      <c r="T1336"/>
      <c r="U1336"/>
      <c r="V1336"/>
      <c r="W1336"/>
      <c r="X1336"/>
      <c r="Y1336"/>
      <c r="Z1336"/>
    </row>
    <row r="1337" spans="19:26" ht="15" customHeight="1" x14ac:dyDescent="0.25">
      <c r="S1337"/>
      <c r="T1337"/>
      <c r="U1337"/>
      <c r="V1337"/>
      <c r="W1337"/>
      <c r="X1337"/>
      <c r="Y1337"/>
      <c r="Z1337"/>
    </row>
    <row r="1338" spans="19:26" ht="15" customHeight="1" x14ac:dyDescent="0.25">
      <c r="S1338"/>
      <c r="T1338"/>
      <c r="U1338"/>
      <c r="V1338"/>
      <c r="W1338"/>
      <c r="X1338"/>
      <c r="Y1338"/>
      <c r="Z1338"/>
    </row>
    <row r="1339" spans="19:26" ht="15" customHeight="1" x14ac:dyDescent="0.25">
      <c r="S1339"/>
      <c r="T1339"/>
      <c r="U1339"/>
      <c r="V1339"/>
      <c r="W1339"/>
      <c r="X1339"/>
      <c r="Y1339"/>
      <c r="Z1339"/>
    </row>
    <row r="1340" spans="19:26" ht="15" customHeight="1" x14ac:dyDescent="0.25">
      <c r="S1340"/>
      <c r="T1340"/>
      <c r="U1340"/>
      <c r="V1340"/>
      <c r="W1340"/>
      <c r="X1340"/>
      <c r="Y1340"/>
      <c r="Z1340"/>
    </row>
    <row r="1341" spans="19:26" ht="15" customHeight="1" x14ac:dyDescent="0.25">
      <c r="S1341"/>
      <c r="T1341"/>
      <c r="U1341"/>
      <c r="V1341"/>
      <c r="W1341"/>
      <c r="X1341"/>
      <c r="Y1341"/>
      <c r="Z1341"/>
    </row>
    <row r="1342" spans="19:26" ht="15" customHeight="1" x14ac:dyDescent="0.25">
      <c r="S1342"/>
      <c r="T1342"/>
      <c r="U1342"/>
      <c r="V1342"/>
      <c r="W1342"/>
      <c r="X1342"/>
      <c r="Y1342"/>
      <c r="Z1342"/>
    </row>
    <row r="1343" spans="19:26" ht="15" customHeight="1" x14ac:dyDescent="0.25">
      <c r="S1343"/>
      <c r="T1343"/>
      <c r="U1343"/>
      <c r="V1343"/>
      <c r="W1343"/>
      <c r="X1343"/>
      <c r="Y1343"/>
      <c r="Z1343"/>
    </row>
    <row r="1344" spans="19:26" ht="15" customHeight="1" x14ac:dyDescent="0.25">
      <c r="S1344"/>
      <c r="T1344"/>
      <c r="U1344"/>
      <c r="V1344"/>
      <c r="W1344"/>
      <c r="X1344"/>
      <c r="Y1344"/>
      <c r="Z1344"/>
    </row>
    <row r="1345" spans="19:26" ht="15" customHeight="1" x14ac:dyDescent="0.25">
      <c r="S1345"/>
      <c r="T1345"/>
      <c r="U1345"/>
      <c r="V1345"/>
      <c r="W1345"/>
      <c r="X1345"/>
      <c r="Y1345"/>
      <c r="Z1345"/>
    </row>
    <row r="1346" spans="19:26" ht="15" customHeight="1" x14ac:dyDescent="0.25">
      <c r="S1346"/>
      <c r="T1346"/>
      <c r="U1346"/>
      <c r="V1346"/>
      <c r="W1346"/>
      <c r="X1346"/>
      <c r="Y1346"/>
      <c r="Z1346"/>
    </row>
    <row r="1347" spans="19:26" ht="15" customHeight="1" x14ac:dyDescent="0.25">
      <c r="S1347"/>
      <c r="T1347"/>
      <c r="U1347"/>
      <c r="V1347"/>
      <c r="W1347"/>
      <c r="X1347"/>
      <c r="Y1347"/>
      <c r="Z1347"/>
    </row>
    <row r="1348" spans="19:26" ht="15" customHeight="1" x14ac:dyDescent="0.25">
      <c r="S1348"/>
      <c r="T1348"/>
      <c r="U1348"/>
      <c r="V1348"/>
      <c r="W1348"/>
      <c r="X1348"/>
      <c r="Y1348"/>
      <c r="Z1348"/>
    </row>
    <row r="1349" spans="19:26" ht="15" customHeight="1" x14ac:dyDescent="0.25">
      <c r="S1349"/>
      <c r="T1349"/>
      <c r="U1349"/>
      <c r="V1349"/>
      <c r="W1349"/>
      <c r="X1349"/>
      <c r="Y1349"/>
      <c r="Z1349"/>
    </row>
    <row r="1350" spans="19:26" ht="15" customHeight="1" x14ac:dyDescent="0.25">
      <c r="S1350"/>
      <c r="T1350"/>
      <c r="U1350"/>
      <c r="V1350"/>
      <c r="W1350"/>
      <c r="X1350"/>
      <c r="Y1350"/>
      <c r="Z1350"/>
    </row>
    <row r="1351" spans="19:26" ht="15" customHeight="1" x14ac:dyDescent="0.25">
      <c r="S1351"/>
      <c r="T1351"/>
      <c r="U1351"/>
      <c r="V1351"/>
      <c r="W1351"/>
      <c r="X1351"/>
      <c r="Y1351"/>
      <c r="Z1351"/>
    </row>
    <row r="1352" spans="19:26" ht="15" customHeight="1" x14ac:dyDescent="0.25">
      <c r="S1352"/>
      <c r="T1352"/>
      <c r="U1352"/>
      <c r="V1352"/>
      <c r="W1352"/>
      <c r="X1352"/>
      <c r="Y1352"/>
      <c r="Z1352"/>
    </row>
    <row r="1353" spans="19:26" ht="15" customHeight="1" x14ac:dyDescent="0.25">
      <c r="S1353"/>
      <c r="T1353"/>
      <c r="U1353"/>
      <c r="V1353"/>
      <c r="W1353"/>
      <c r="X1353"/>
      <c r="Y1353"/>
      <c r="Z1353"/>
    </row>
    <row r="1354" spans="19:26" ht="15" customHeight="1" x14ac:dyDescent="0.25">
      <c r="S1354"/>
      <c r="T1354"/>
      <c r="U1354"/>
      <c r="V1354"/>
      <c r="W1354"/>
      <c r="X1354"/>
      <c r="Y1354"/>
      <c r="Z1354"/>
    </row>
    <row r="1355" spans="19:26" ht="15" customHeight="1" x14ac:dyDescent="0.25">
      <c r="S1355"/>
      <c r="T1355"/>
      <c r="U1355"/>
      <c r="V1355"/>
      <c r="W1355"/>
      <c r="X1355"/>
      <c r="Y1355"/>
      <c r="Z1355"/>
    </row>
    <row r="1356" spans="19:26" ht="15" customHeight="1" x14ac:dyDescent="0.25">
      <c r="S1356"/>
      <c r="T1356"/>
      <c r="U1356"/>
      <c r="V1356"/>
      <c r="W1356"/>
      <c r="X1356"/>
      <c r="Y1356"/>
      <c r="Z1356"/>
    </row>
    <row r="1357" spans="19:26" ht="15" customHeight="1" x14ac:dyDescent="0.25">
      <c r="S1357"/>
      <c r="T1357"/>
      <c r="U1357"/>
      <c r="V1357"/>
      <c r="W1357"/>
      <c r="X1357"/>
      <c r="Y1357"/>
      <c r="Z1357"/>
    </row>
    <row r="1358" spans="19:26" ht="15" customHeight="1" x14ac:dyDescent="0.25">
      <c r="S1358"/>
      <c r="T1358"/>
      <c r="U1358"/>
      <c r="V1358"/>
      <c r="W1358"/>
      <c r="X1358"/>
      <c r="Y1358"/>
      <c r="Z1358"/>
    </row>
    <row r="1359" spans="19:26" ht="15" customHeight="1" x14ac:dyDescent="0.25">
      <c r="S1359"/>
      <c r="T1359"/>
      <c r="U1359"/>
      <c r="V1359"/>
      <c r="W1359"/>
      <c r="X1359"/>
      <c r="Y1359"/>
      <c r="Z1359"/>
    </row>
    <row r="1360" spans="19:26" ht="15" customHeight="1" x14ac:dyDescent="0.25">
      <c r="S1360"/>
      <c r="T1360"/>
      <c r="U1360"/>
      <c r="V1360"/>
      <c r="W1360"/>
      <c r="X1360"/>
      <c r="Y1360"/>
      <c r="Z1360"/>
    </row>
    <row r="1361" spans="19:26" ht="15" customHeight="1" x14ac:dyDescent="0.25">
      <c r="S1361"/>
      <c r="T1361"/>
      <c r="U1361"/>
      <c r="V1361"/>
      <c r="W1361"/>
      <c r="X1361"/>
      <c r="Y1361"/>
      <c r="Z1361"/>
    </row>
    <row r="1362" spans="19:26" ht="15" customHeight="1" x14ac:dyDescent="0.25">
      <c r="S1362"/>
      <c r="T1362"/>
      <c r="U1362"/>
      <c r="V1362"/>
      <c r="W1362"/>
      <c r="X1362"/>
      <c r="Y1362"/>
      <c r="Z1362"/>
    </row>
    <row r="1363" spans="19:26" ht="15" customHeight="1" x14ac:dyDescent="0.25">
      <c r="S1363"/>
      <c r="T1363"/>
      <c r="U1363"/>
      <c r="V1363"/>
      <c r="W1363"/>
      <c r="X1363"/>
      <c r="Y1363"/>
      <c r="Z1363"/>
    </row>
    <row r="1364" spans="19:26" ht="15" customHeight="1" x14ac:dyDescent="0.25">
      <c r="S1364"/>
      <c r="T1364"/>
      <c r="U1364"/>
      <c r="V1364"/>
      <c r="W1364"/>
      <c r="X1364"/>
      <c r="Y1364"/>
      <c r="Z1364"/>
    </row>
    <row r="1365" spans="19:26" ht="15" customHeight="1" x14ac:dyDescent="0.25">
      <c r="S1365"/>
      <c r="T1365"/>
      <c r="U1365"/>
      <c r="V1365"/>
      <c r="W1365"/>
      <c r="X1365"/>
      <c r="Y1365"/>
      <c r="Z1365"/>
    </row>
    <row r="1366" spans="19:26" ht="15" customHeight="1" x14ac:dyDescent="0.25">
      <c r="S1366"/>
      <c r="T1366"/>
      <c r="U1366"/>
      <c r="V1366"/>
      <c r="W1366"/>
      <c r="X1366"/>
      <c r="Y1366"/>
      <c r="Z1366"/>
    </row>
    <row r="1367" spans="19:26" ht="15" customHeight="1" x14ac:dyDescent="0.25">
      <c r="S1367"/>
      <c r="T1367"/>
      <c r="U1367"/>
      <c r="V1367"/>
      <c r="W1367"/>
      <c r="X1367"/>
      <c r="Y1367"/>
      <c r="Z1367"/>
    </row>
    <row r="1368" spans="19:26" ht="15" customHeight="1" x14ac:dyDescent="0.25">
      <c r="S1368"/>
      <c r="T1368"/>
      <c r="U1368"/>
      <c r="V1368"/>
      <c r="W1368"/>
      <c r="X1368"/>
      <c r="Y1368"/>
      <c r="Z1368"/>
    </row>
    <row r="1369" spans="19:26" ht="15" customHeight="1" x14ac:dyDescent="0.25">
      <c r="S1369"/>
      <c r="T1369"/>
      <c r="U1369"/>
      <c r="V1369"/>
      <c r="W1369"/>
      <c r="X1369"/>
      <c r="Y1369"/>
      <c r="Z1369"/>
    </row>
    <row r="1370" spans="19:26" ht="15" customHeight="1" x14ac:dyDescent="0.25">
      <c r="S1370"/>
      <c r="T1370"/>
      <c r="U1370"/>
      <c r="V1370"/>
      <c r="W1370"/>
      <c r="X1370"/>
      <c r="Y1370"/>
      <c r="Z1370"/>
    </row>
    <row r="1371" spans="19:26" ht="15" customHeight="1" x14ac:dyDescent="0.25">
      <c r="S1371"/>
      <c r="T1371"/>
      <c r="U1371"/>
      <c r="V1371"/>
      <c r="W1371"/>
      <c r="X1371"/>
      <c r="Y1371"/>
      <c r="Z1371"/>
    </row>
    <row r="1372" spans="19:26" ht="15" customHeight="1" x14ac:dyDescent="0.25">
      <c r="S1372"/>
      <c r="T1372"/>
      <c r="U1372"/>
      <c r="V1372"/>
      <c r="W1372"/>
      <c r="X1372"/>
      <c r="Y1372"/>
      <c r="Z1372"/>
    </row>
    <row r="1373" spans="19:26" ht="15" customHeight="1" x14ac:dyDescent="0.25">
      <c r="S1373"/>
      <c r="T1373"/>
      <c r="U1373"/>
      <c r="V1373"/>
      <c r="W1373"/>
      <c r="X1373"/>
      <c r="Y1373"/>
      <c r="Z1373"/>
    </row>
    <row r="1374" spans="19:26" ht="15" customHeight="1" x14ac:dyDescent="0.25">
      <c r="S1374"/>
      <c r="T1374"/>
      <c r="U1374"/>
      <c r="V1374"/>
      <c r="W1374"/>
      <c r="X1374"/>
      <c r="Y1374"/>
      <c r="Z1374"/>
    </row>
    <row r="1375" spans="19:26" ht="15" customHeight="1" x14ac:dyDescent="0.25">
      <c r="S1375"/>
      <c r="T1375"/>
      <c r="U1375"/>
      <c r="V1375"/>
      <c r="W1375"/>
      <c r="X1375"/>
      <c r="Y1375"/>
      <c r="Z1375"/>
    </row>
    <row r="1376" spans="19:26" ht="15" customHeight="1" x14ac:dyDescent="0.25">
      <c r="S1376"/>
      <c r="T1376"/>
      <c r="U1376"/>
      <c r="V1376"/>
      <c r="W1376"/>
      <c r="X1376"/>
      <c r="Y1376"/>
      <c r="Z1376"/>
    </row>
    <row r="1377" spans="19:26" ht="15" customHeight="1" x14ac:dyDescent="0.25">
      <c r="S1377"/>
      <c r="T1377"/>
      <c r="U1377"/>
      <c r="V1377"/>
      <c r="W1377"/>
      <c r="X1377"/>
      <c r="Y1377"/>
      <c r="Z1377"/>
    </row>
    <row r="1378" spans="19:26" ht="15" customHeight="1" x14ac:dyDescent="0.25">
      <c r="S1378"/>
      <c r="T1378"/>
      <c r="U1378"/>
      <c r="V1378"/>
      <c r="W1378"/>
      <c r="X1378"/>
      <c r="Y1378"/>
      <c r="Z1378"/>
    </row>
    <row r="1379" spans="19:26" ht="15" customHeight="1" x14ac:dyDescent="0.25">
      <c r="S1379"/>
      <c r="T1379"/>
      <c r="U1379"/>
      <c r="V1379"/>
      <c r="W1379"/>
      <c r="X1379"/>
      <c r="Y1379"/>
      <c r="Z1379"/>
    </row>
    <row r="1380" spans="19:26" ht="15" customHeight="1" x14ac:dyDescent="0.25">
      <c r="S1380"/>
      <c r="T1380"/>
      <c r="U1380"/>
      <c r="V1380"/>
      <c r="W1380"/>
      <c r="X1380"/>
      <c r="Y1380"/>
      <c r="Z1380"/>
    </row>
    <row r="1381" spans="19:26" ht="15" customHeight="1" x14ac:dyDescent="0.25">
      <c r="S1381"/>
      <c r="T1381"/>
      <c r="U1381"/>
      <c r="V1381"/>
      <c r="W1381"/>
      <c r="X1381"/>
      <c r="Y1381"/>
      <c r="Z1381"/>
    </row>
    <row r="1382" spans="19:26" ht="15" customHeight="1" x14ac:dyDescent="0.25">
      <c r="S1382"/>
      <c r="T1382"/>
      <c r="U1382"/>
      <c r="V1382"/>
      <c r="W1382"/>
      <c r="X1382"/>
      <c r="Y1382"/>
      <c r="Z1382"/>
    </row>
    <row r="1383" spans="19:26" ht="15" customHeight="1" x14ac:dyDescent="0.25">
      <c r="S1383"/>
      <c r="T1383"/>
      <c r="U1383"/>
      <c r="V1383"/>
      <c r="W1383"/>
      <c r="X1383"/>
      <c r="Y1383"/>
      <c r="Z1383"/>
    </row>
    <row r="1384" spans="19:26" ht="15" customHeight="1" x14ac:dyDescent="0.25">
      <c r="S1384"/>
      <c r="T1384"/>
      <c r="U1384"/>
      <c r="V1384"/>
      <c r="W1384"/>
      <c r="X1384"/>
      <c r="Y1384"/>
      <c r="Z1384"/>
    </row>
    <row r="1385" spans="19:26" ht="15" customHeight="1" x14ac:dyDescent="0.25">
      <c r="S1385"/>
      <c r="T1385"/>
      <c r="U1385"/>
      <c r="V1385"/>
      <c r="W1385"/>
      <c r="X1385"/>
      <c r="Y1385"/>
      <c r="Z1385"/>
    </row>
    <row r="1386" spans="19:26" ht="15" customHeight="1" x14ac:dyDescent="0.25">
      <c r="S1386"/>
      <c r="T1386"/>
      <c r="U1386"/>
      <c r="V1386"/>
      <c r="W1386"/>
      <c r="X1386"/>
      <c r="Y1386"/>
      <c r="Z1386"/>
    </row>
    <row r="1387" spans="19:26" ht="15" customHeight="1" x14ac:dyDescent="0.25">
      <c r="S1387"/>
      <c r="T1387"/>
      <c r="U1387"/>
      <c r="V1387"/>
      <c r="W1387"/>
      <c r="X1387"/>
      <c r="Y1387"/>
      <c r="Z1387"/>
    </row>
    <row r="1388" spans="19:26" ht="15" customHeight="1" x14ac:dyDescent="0.25">
      <c r="S1388"/>
      <c r="T1388"/>
      <c r="U1388"/>
      <c r="V1388"/>
      <c r="W1388"/>
      <c r="X1388"/>
      <c r="Y1388"/>
      <c r="Z1388"/>
    </row>
    <row r="1389" spans="19:26" ht="15" customHeight="1" x14ac:dyDescent="0.25">
      <c r="S1389"/>
      <c r="T1389"/>
      <c r="U1389"/>
      <c r="V1389"/>
      <c r="W1389"/>
      <c r="X1389"/>
      <c r="Y1389"/>
      <c r="Z1389"/>
    </row>
    <row r="1390" spans="19:26" ht="15" customHeight="1" x14ac:dyDescent="0.25">
      <c r="S1390"/>
      <c r="T1390"/>
      <c r="U1390"/>
      <c r="V1390"/>
      <c r="W1390"/>
      <c r="X1390"/>
      <c r="Y1390"/>
      <c r="Z1390"/>
    </row>
    <row r="1391" spans="19:26" ht="15" customHeight="1" x14ac:dyDescent="0.25">
      <c r="S1391"/>
      <c r="T1391"/>
      <c r="U1391"/>
      <c r="V1391"/>
      <c r="W1391"/>
      <c r="X1391"/>
      <c r="Y1391"/>
      <c r="Z1391"/>
    </row>
    <row r="1392" spans="19:26" ht="15" customHeight="1" x14ac:dyDescent="0.25">
      <c r="S1392"/>
      <c r="T1392"/>
      <c r="U1392"/>
      <c r="V1392"/>
      <c r="W1392"/>
      <c r="X1392"/>
      <c r="Y1392"/>
      <c r="Z1392"/>
    </row>
    <row r="1393" spans="19:26" ht="15" customHeight="1" x14ac:dyDescent="0.25">
      <c r="S1393"/>
      <c r="T1393"/>
      <c r="U1393"/>
      <c r="V1393"/>
      <c r="W1393"/>
      <c r="X1393"/>
      <c r="Y1393"/>
      <c r="Z1393"/>
    </row>
    <row r="1394" spans="19:26" ht="15" customHeight="1" x14ac:dyDescent="0.25">
      <c r="S1394"/>
      <c r="T1394"/>
      <c r="U1394"/>
      <c r="V1394"/>
      <c r="W1394"/>
      <c r="X1394"/>
      <c r="Y1394"/>
      <c r="Z1394"/>
    </row>
    <row r="1395" spans="19:26" ht="15" customHeight="1" x14ac:dyDescent="0.25">
      <c r="S1395"/>
      <c r="T1395"/>
      <c r="U1395"/>
      <c r="V1395"/>
      <c r="W1395"/>
      <c r="X1395"/>
      <c r="Y1395"/>
      <c r="Z1395"/>
    </row>
    <row r="1396" spans="19:26" ht="15" customHeight="1" x14ac:dyDescent="0.25">
      <c r="S1396"/>
      <c r="T1396"/>
      <c r="U1396"/>
      <c r="V1396"/>
      <c r="W1396"/>
      <c r="X1396"/>
      <c r="Y1396"/>
      <c r="Z1396"/>
    </row>
    <row r="1397" spans="19:26" ht="15" customHeight="1" x14ac:dyDescent="0.25">
      <c r="S1397"/>
      <c r="T1397"/>
      <c r="U1397"/>
      <c r="V1397"/>
      <c r="W1397"/>
      <c r="X1397"/>
      <c r="Y1397"/>
      <c r="Z1397"/>
    </row>
    <row r="1398" spans="19:26" ht="15" customHeight="1" x14ac:dyDescent="0.25">
      <c r="S1398"/>
      <c r="T1398"/>
      <c r="U1398"/>
      <c r="V1398"/>
      <c r="W1398"/>
      <c r="X1398"/>
      <c r="Y1398"/>
      <c r="Z1398"/>
    </row>
    <row r="1399" spans="19:26" ht="15" customHeight="1" x14ac:dyDescent="0.25">
      <c r="S1399"/>
      <c r="T1399"/>
      <c r="U1399"/>
      <c r="V1399"/>
      <c r="W1399"/>
      <c r="X1399"/>
      <c r="Y1399"/>
      <c r="Z1399"/>
    </row>
    <row r="1400" spans="19:26" ht="15" customHeight="1" x14ac:dyDescent="0.25">
      <c r="S1400"/>
      <c r="T1400"/>
      <c r="U1400"/>
      <c r="V1400"/>
      <c r="W1400"/>
      <c r="X1400"/>
      <c r="Y1400"/>
      <c r="Z1400"/>
    </row>
    <row r="1401" spans="19:26" ht="15" customHeight="1" x14ac:dyDescent="0.25">
      <c r="S1401"/>
      <c r="T1401"/>
      <c r="U1401"/>
      <c r="V1401"/>
      <c r="W1401"/>
      <c r="X1401"/>
      <c r="Y1401"/>
      <c r="Z1401"/>
    </row>
    <row r="1402" spans="19:26" ht="15" customHeight="1" x14ac:dyDescent="0.25">
      <c r="S1402"/>
      <c r="T1402"/>
      <c r="U1402"/>
      <c r="V1402"/>
      <c r="W1402"/>
      <c r="X1402"/>
      <c r="Y1402"/>
      <c r="Z1402"/>
    </row>
    <row r="1403" spans="19:26" ht="15" customHeight="1" x14ac:dyDescent="0.25">
      <c r="S1403"/>
      <c r="T1403"/>
      <c r="U1403"/>
      <c r="V1403"/>
      <c r="W1403"/>
      <c r="X1403"/>
      <c r="Y1403"/>
      <c r="Z1403"/>
    </row>
    <row r="1404" spans="19:26" ht="15" customHeight="1" x14ac:dyDescent="0.25">
      <c r="S1404"/>
      <c r="T1404"/>
      <c r="U1404"/>
      <c r="V1404"/>
      <c r="W1404"/>
      <c r="X1404"/>
      <c r="Y1404"/>
      <c r="Z1404"/>
    </row>
    <row r="1405" spans="19:26" ht="15" customHeight="1" x14ac:dyDescent="0.25">
      <c r="S1405"/>
      <c r="T1405"/>
      <c r="U1405"/>
      <c r="V1405"/>
      <c r="W1405"/>
      <c r="X1405"/>
      <c r="Y1405"/>
      <c r="Z1405"/>
    </row>
    <row r="1406" spans="19:26" ht="15" customHeight="1" x14ac:dyDescent="0.25">
      <c r="S1406"/>
      <c r="T1406"/>
      <c r="U1406"/>
      <c r="V1406"/>
      <c r="W1406"/>
      <c r="X1406"/>
      <c r="Y1406"/>
      <c r="Z1406"/>
    </row>
    <row r="1407" spans="19:26" ht="15" customHeight="1" x14ac:dyDescent="0.25">
      <c r="S1407"/>
      <c r="T1407"/>
      <c r="U1407"/>
      <c r="V1407"/>
      <c r="W1407"/>
      <c r="X1407"/>
      <c r="Y1407"/>
      <c r="Z1407"/>
    </row>
    <row r="1408" spans="19:26" ht="15" customHeight="1" x14ac:dyDescent="0.25">
      <c r="S1408"/>
      <c r="T1408"/>
      <c r="U1408"/>
      <c r="V1408"/>
      <c r="W1408"/>
      <c r="X1408"/>
      <c r="Y1408"/>
      <c r="Z1408"/>
    </row>
    <row r="1409" spans="19:26" ht="15" customHeight="1" x14ac:dyDescent="0.25">
      <c r="S1409"/>
      <c r="T1409"/>
      <c r="U1409"/>
      <c r="V1409"/>
      <c r="W1409"/>
      <c r="X1409"/>
      <c r="Y1409"/>
      <c r="Z1409"/>
    </row>
    <row r="1410" spans="19:26" ht="15" customHeight="1" x14ac:dyDescent="0.25">
      <c r="S1410"/>
      <c r="T1410"/>
      <c r="U1410"/>
      <c r="V1410"/>
      <c r="W1410"/>
      <c r="X1410"/>
      <c r="Y1410"/>
      <c r="Z1410"/>
    </row>
    <row r="1411" spans="19:26" ht="15" customHeight="1" x14ac:dyDescent="0.25">
      <c r="S1411"/>
      <c r="T1411"/>
      <c r="U1411"/>
      <c r="V1411"/>
      <c r="W1411"/>
      <c r="X1411"/>
      <c r="Y1411"/>
      <c r="Z1411"/>
    </row>
    <row r="1412" spans="19:26" ht="15" customHeight="1" x14ac:dyDescent="0.25">
      <c r="S1412"/>
      <c r="T1412"/>
      <c r="U1412"/>
      <c r="V1412"/>
      <c r="W1412"/>
      <c r="X1412"/>
      <c r="Y1412"/>
      <c r="Z1412"/>
    </row>
    <row r="1413" spans="19:26" ht="15" customHeight="1" x14ac:dyDescent="0.25">
      <c r="S1413"/>
      <c r="T1413"/>
      <c r="U1413"/>
      <c r="V1413"/>
      <c r="W1413"/>
      <c r="X1413"/>
      <c r="Y1413"/>
      <c r="Z1413"/>
    </row>
    <row r="1414" spans="19:26" ht="15" customHeight="1" x14ac:dyDescent="0.25">
      <c r="S1414"/>
      <c r="T1414"/>
      <c r="U1414"/>
      <c r="V1414"/>
      <c r="W1414"/>
      <c r="X1414"/>
      <c r="Y1414"/>
      <c r="Z1414"/>
    </row>
    <row r="1415" spans="19:26" ht="15" customHeight="1" x14ac:dyDescent="0.25">
      <c r="S1415"/>
      <c r="T1415"/>
      <c r="U1415"/>
      <c r="V1415"/>
      <c r="W1415"/>
      <c r="X1415"/>
      <c r="Y1415"/>
      <c r="Z1415"/>
    </row>
    <row r="1416" spans="19:26" ht="15" customHeight="1" x14ac:dyDescent="0.25">
      <c r="S1416"/>
      <c r="T1416"/>
      <c r="U1416"/>
      <c r="V1416"/>
      <c r="W1416"/>
      <c r="X1416"/>
      <c r="Y1416"/>
      <c r="Z1416"/>
    </row>
    <row r="1417" spans="19:26" ht="15" customHeight="1" x14ac:dyDescent="0.25">
      <c r="S1417"/>
      <c r="T1417"/>
      <c r="U1417"/>
      <c r="V1417"/>
      <c r="W1417"/>
      <c r="X1417"/>
      <c r="Y1417"/>
      <c r="Z1417"/>
    </row>
    <row r="1418" spans="19:26" ht="15" customHeight="1" x14ac:dyDescent="0.25">
      <c r="S1418"/>
      <c r="T1418"/>
      <c r="U1418"/>
      <c r="V1418"/>
      <c r="W1418"/>
      <c r="X1418"/>
      <c r="Y1418"/>
      <c r="Z1418"/>
    </row>
    <row r="1419" spans="19:26" ht="15" customHeight="1" x14ac:dyDescent="0.25">
      <c r="S1419"/>
      <c r="T1419"/>
      <c r="U1419"/>
      <c r="V1419"/>
      <c r="W1419"/>
      <c r="X1419"/>
      <c r="Y1419"/>
      <c r="Z1419"/>
    </row>
    <row r="1420" spans="19:26" ht="15" customHeight="1" x14ac:dyDescent="0.25">
      <c r="S1420"/>
      <c r="T1420"/>
      <c r="U1420"/>
      <c r="V1420"/>
      <c r="W1420"/>
      <c r="X1420"/>
      <c r="Y1420"/>
      <c r="Z1420"/>
    </row>
    <row r="1421" spans="19:26" ht="15" customHeight="1" x14ac:dyDescent="0.25">
      <c r="S1421"/>
      <c r="T1421"/>
      <c r="U1421"/>
      <c r="V1421"/>
      <c r="W1421"/>
      <c r="X1421"/>
      <c r="Y1421"/>
      <c r="Z1421"/>
    </row>
    <row r="1422" spans="19:26" ht="15" customHeight="1" x14ac:dyDescent="0.25">
      <c r="S1422"/>
      <c r="T1422"/>
      <c r="U1422"/>
      <c r="V1422"/>
      <c r="W1422"/>
      <c r="X1422"/>
      <c r="Y1422"/>
      <c r="Z1422"/>
    </row>
    <row r="1423" spans="19:26" ht="15" customHeight="1" x14ac:dyDescent="0.25">
      <c r="S1423"/>
      <c r="T1423"/>
      <c r="U1423"/>
      <c r="V1423"/>
      <c r="W1423"/>
      <c r="X1423"/>
      <c r="Y1423"/>
      <c r="Z1423"/>
    </row>
    <row r="1424" spans="19:26" ht="15" customHeight="1" x14ac:dyDescent="0.25">
      <c r="S1424"/>
      <c r="T1424"/>
      <c r="U1424"/>
      <c r="V1424"/>
      <c r="W1424"/>
      <c r="X1424"/>
      <c r="Y1424"/>
      <c r="Z1424"/>
    </row>
    <row r="1425" spans="19:26" ht="15" customHeight="1" x14ac:dyDescent="0.25">
      <c r="S1425"/>
      <c r="T1425"/>
      <c r="U1425"/>
      <c r="V1425"/>
      <c r="W1425"/>
      <c r="X1425"/>
      <c r="Y1425"/>
      <c r="Z1425"/>
    </row>
    <row r="1426" spans="19:26" ht="15" customHeight="1" x14ac:dyDescent="0.25">
      <c r="S1426"/>
      <c r="T1426"/>
      <c r="U1426"/>
      <c r="V1426"/>
      <c r="W1426"/>
      <c r="X1426"/>
      <c r="Y1426"/>
      <c r="Z1426"/>
    </row>
    <row r="1427" spans="19:26" ht="15" customHeight="1" x14ac:dyDescent="0.25">
      <c r="S1427"/>
      <c r="T1427"/>
      <c r="U1427"/>
      <c r="V1427"/>
      <c r="W1427"/>
      <c r="X1427"/>
      <c r="Y1427"/>
      <c r="Z1427"/>
    </row>
    <row r="1428" spans="19:26" ht="15" customHeight="1" x14ac:dyDescent="0.25">
      <c r="S1428"/>
      <c r="T1428"/>
      <c r="U1428"/>
      <c r="V1428"/>
      <c r="W1428"/>
      <c r="X1428"/>
      <c r="Y1428"/>
      <c r="Z1428"/>
    </row>
    <row r="1429" spans="19:26" ht="15" customHeight="1" x14ac:dyDescent="0.25">
      <c r="S1429"/>
      <c r="T1429"/>
      <c r="U1429"/>
      <c r="V1429"/>
      <c r="W1429"/>
      <c r="X1429"/>
      <c r="Y1429"/>
      <c r="Z1429"/>
    </row>
    <row r="1430" spans="19:26" ht="15" customHeight="1" x14ac:dyDescent="0.25">
      <c r="S1430"/>
      <c r="T1430"/>
      <c r="U1430"/>
      <c r="V1430"/>
      <c r="W1430"/>
      <c r="X1430"/>
      <c r="Y1430"/>
      <c r="Z1430"/>
    </row>
    <row r="1431" spans="19:26" ht="15" customHeight="1" x14ac:dyDescent="0.25">
      <c r="S1431"/>
      <c r="T1431"/>
      <c r="U1431"/>
      <c r="V1431"/>
      <c r="W1431"/>
      <c r="X1431"/>
      <c r="Y1431"/>
      <c r="Z1431"/>
    </row>
    <row r="1432" spans="19:26" ht="15" customHeight="1" x14ac:dyDescent="0.25">
      <c r="S1432"/>
      <c r="T1432"/>
      <c r="U1432"/>
      <c r="V1432"/>
      <c r="W1432"/>
      <c r="X1432"/>
      <c r="Y1432"/>
      <c r="Z1432"/>
    </row>
    <row r="1433" spans="19:26" ht="15" customHeight="1" x14ac:dyDescent="0.25">
      <c r="S1433"/>
      <c r="T1433"/>
      <c r="U1433"/>
      <c r="V1433"/>
      <c r="W1433"/>
      <c r="X1433"/>
      <c r="Y1433"/>
      <c r="Z1433"/>
    </row>
    <row r="1434" spans="19:26" ht="15" customHeight="1" x14ac:dyDescent="0.25">
      <c r="S1434"/>
      <c r="T1434"/>
      <c r="U1434"/>
      <c r="V1434"/>
      <c r="W1434"/>
      <c r="X1434"/>
      <c r="Y1434"/>
      <c r="Z1434"/>
    </row>
    <row r="1435" spans="19:26" ht="15" customHeight="1" x14ac:dyDescent="0.25">
      <c r="S1435"/>
      <c r="T1435"/>
      <c r="U1435"/>
      <c r="V1435"/>
      <c r="W1435"/>
      <c r="X1435"/>
      <c r="Y1435"/>
      <c r="Z1435"/>
    </row>
    <row r="1436" spans="19:26" ht="15" customHeight="1" x14ac:dyDescent="0.25">
      <c r="S1436"/>
      <c r="T1436"/>
      <c r="U1436"/>
      <c r="V1436"/>
      <c r="W1436"/>
      <c r="X1436"/>
      <c r="Y1436"/>
      <c r="Z1436"/>
    </row>
    <row r="1437" spans="19:26" ht="15" customHeight="1" x14ac:dyDescent="0.25">
      <c r="S1437"/>
      <c r="T1437"/>
      <c r="U1437"/>
      <c r="V1437"/>
      <c r="W1437"/>
      <c r="X1437"/>
      <c r="Y1437"/>
      <c r="Z1437"/>
    </row>
    <row r="1438" spans="19:26" ht="15" customHeight="1" x14ac:dyDescent="0.25">
      <c r="S1438"/>
      <c r="T1438"/>
      <c r="U1438"/>
      <c r="V1438"/>
      <c r="W1438"/>
      <c r="X1438"/>
      <c r="Y1438"/>
      <c r="Z1438"/>
    </row>
    <row r="1439" spans="19:26" ht="15" customHeight="1" x14ac:dyDescent="0.25">
      <c r="S1439"/>
      <c r="T1439"/>
      <c r="U1439"/>
      <c r="V1439"/>
      <c r="W1439"/>
      <c r="X1439"/>
      <c r="Y1439"/>
      <c r="Z1439"/>
    </row>
    <row r="1440" spans="19:26" ht="15" customHeight="1" x14ac:dyDescent="0.25">
      <c r="S1440"/>
      <c r="T1440"/>
      <c r="U1440"/>
      <c r="V1440"/>
      <c r="W1440"/>
      <c r="X1440"/>
      <c r="Y1440"/>
      <c r="Z1440"/>
    </row>
    <row r="1441" spans="19:26" ht="15" customHeight="1" x14ac:dyDescent="0.25">
      <c r="S1441"/>
      <c r="T1441"/>
      <c r="U1441"/>
      <c r="V1441"/>
      <c r="W1441"/>
      <c r="X1441"/>
      <c r="Y1441"/>
      <c r="Z1441"/>
    </row>
    <row r="1442" spans="19:26" ht="15" customHeight="1" x14ac:dyDescent="0.25">
      <c r="S1442"/>
      <c r="T1442"/>
      <c r="U1442"/>
      <c r="V1442"/>
      <c r="W1442"/>
      <c r="X1442"/>
      <c r="Y1442"/>
      <c r="Z1442"/>
    </row>
    <row r="1443" spans="19:26" ht="15" customHeight="1" x14ac:dyDescent="0.25">
      <c r="S1443"/>
      <c r="T1443"/>
      <c r="U1443"/>
      <c r="V1443"/>
      <c r="W1443"/>
      <c r="X1443"/>
      <c r="Y1443"/>
      <c r="Z1443"/>
    </row>
    <row r="1444" spans="19:26" ht="15" customHeight="1" x14ac:dyDescent="0.25">
      <c r="S1444"/>
      <c r="T1444"/>
      <c r="U1444"/>
      <c r="V1444"/>
      <c r="W1444"/>
      <c r="X1444"/>
      <c r="Y1444"/>
      <c r="Z1444"/>
    </row>
    <row r="1445" spans="19:26" ht="15" customHeight="1" x14ac:dyDescent="0.25">
      <c r="S1445"/>
      <c r="T1445"/>
      <c r="U1445"/>
      <c r="V1445"/>
      <c r="W1445"/>
      <c r="X1445"/>
      <c r="Y1445"/>
      <c r="Z1445"/>
    </row>
    <row r="1446" spans="19:26" ht="15" customHeight="1" x14ac:dyDescent="0.25">
      <c r="S1446"/>
      <c r="T1446"/>
      <c r="U1446"/>
      <c r="V1446"/>
      <c r="W1446"/>
      <c r="X1446"/>
      <c r="Y1446"/>
      <c r="Z1446"/>
    </row>
    <row r="1447" spans="19:26" ht="15" customHeight="1" x14ac:dyDescent="0.25">
      <c r="S1447"/>
      <c r="T1447"/>
      <c r="U1447"/>
      <c r="V1447"/>
      <c r="W1447"/>
      <c r="X1447"/>
      <c r="Y1447"/>
      <c r="Z1447"/>
    </row>
    <row r="1448" spans="19:26" ht="15" customHeight="1" x14ac:dyDescent="0.25">
      <c r="S1448"/>
      <c r="T1448"/>
      <c r="U1448"/>
      <c r="V1448"/>
      <c r="W1448"/>
      <c r="X1448"/>
      <c r="Y1448"/>
      <c r="Z1448"/>
    </row>
    <row r="1449" spans="19:26" ht="15" customHeight="1" x14ac:dyDescent="0.25">
      <c r="S1449"/>
      <c r="T1449"/>
      <c r="U1449"/>
      <c r="V1449"/>
      <c r="W1449"/>
      <c r="X1449"/>
      <c r="Y1449"/>
      <c r="Z1449"/>
    </row>
    <row r="1450" spans="19:26" ht="15" customHeight="1" x14ac:dyDescent="0.25">
      <c r="S1450"/>
      <c r="T1450"/>
      <c r="U1450"/>
      <c r="V1450"/>
      <c r="W1450"/>
      <c r="X1450"/>
      <c r="Y1450"/>
      <c r="Z1450"/>
    </row>
    <row r="1451" spans="19:26" ht="15" customHeight="1" x14ac:dyDescent="0.25">
      <c r="S1451"/>
      <c r="T1451"/>
      <c r="U1451"/>
      <c r="V1451"/>
      <c r="W1451"/>
      <c r="X1451"/>
      <c r="Y1451"/>
      <c r="Z1451"/>
    </row>
    <row r="1452" spans="19:26" ht="15" customHeight="1" x14ac:dyDescent="0.25">
      <c r="S1452"/>
      <c r="T1452"/>
      <c r="U1452"/>
      <c r="V1452"/>
      <c r="W1452"/>
      <c r="X1452"/>
      <c r="Y1452"/>
      <c r="Z1452"/>
    </row>
    <row r="1453" spans="19:26" ht="15" customHeight="1" x14ac:dyDescent="0.25">
      <c r="S1453"/>
      <c r="T1453"/>
      <c r="U1453"/>
      <c r="V1453"/>
      <c r="W1453"/>
      <c r="X1453"/>
      <c r="Y1453"/>
      <c r="Z1453"/>
    </row>
    <row r="1454" spans="19:26" ht="15" customHeight="1" x14ac:dyDescent="0.25">
      <c r="S1454"/>
      <c r="T1454"/>
      <c r="U1454"/>
      <c r="V1454"/>
      <c r="W1454"/>
      <c r="X1454"/>
      <c r="Y1454"/>
      <c r="Z1454"/>
    </row>
    <row r="1455" spans="19:26" ht="15" customHeight="1" x14ac:dyDescent="0.25">
      <c r="S1455"/>
      <c r="T1455"/>
      <c r="U1455"/>
      <c r="V1455"/>
      <c r="W1455"/>
      <c r="X1455"/>
      <c r="Y1455"/>
      <c r="Z1455"/>
    </row>
    <row r="1456" spans="19:26" ht="15" customHeight="1" x14ac:dyDescent="0.25">
      <c r="S1456"/>
      <c r="T1456"/>
      <c r="U1456"/>
      <c r="V1456"/>
      <c r="W1456"/>
      <c r="X1456"/>
      <c r="Y1456"/>
      <c r="Z1456"/>
    </row>
    <row r="1457" spans="19:26" ht="15" customHeight="1" x14ac:dyDescent="0.25">
      <c r="S1457"/>
      <c r="T1457"/>
      <c r="U1457"/>
      <c r="V1457"/>
      <c r="W1457"/>
      <c r="X1457"/>
      <c r="Y1457"/>
      <c r="Z1457"/>
    </row>
    <row r="1458" spans="19:26" ht="15" customHeight="1" x14ac:dyDescent="0.25">
      <c r="S1458"/>
      <c r="T1458"/>
      <c r="U1458"/>
      <c r="V1458"/>
      <c r="W1458"/>
      <c r="X1458"/>
      <c r="Y1458"/>
      <c r="Z1458"/>
    </row>
    <row r="1459" spans="19:26" ht="15" customHeight="1" x14ac:dyDescent="0.25">
      <c r="S1459"/>
      <c r="T1459"/>
      <c r="U1459"/>
      <c r="V1459"/>
      <c r="W1459"/>
      <c r="X1459"/>
      <c r="Y1459"/>
      <c r="Z1459"/>
    </row>
    <row r="1460" spans="19:26" ht="15" customHeight="1" x14ac:dyDescent="0.25">
      <c r="S1460"/>
      <c r="T1460"/>
      <c r="U1460"/>
      <c r="V1460"/>
      <c r="W1460"/>
      <c r="X1460"/>
      <c r="Y1460"/>
      <c r="Z1460"/>
    </row>
    <row r="1461" spans="19:26" ht="15" customHeight="1" x14ac:dyDescent="0.25">
      <c r="S1461"/>
      <c r="T1461"/>
      <c r="U1461"/>
      <c r="V1461"/>
      <c r="W1461"/>
      <c r="X1461"/>
      <c r="Y1461"/>
      <c r="Z1461"/>
    </row>
    <row r="1462" spans="19:26" ht="15" customHeight="1" x14ac:dyDescent="0.25">
      <c r="S1462"/>
      <c r="T1462"/>
      <c r="U1462"/>
      <c r="V1462"/>
      <c r="W1462"/>
      <c r="X1462"/>
      <c r="Y1462"/>
      <c r="Z1462"/>
    </row>
    <row r="1463" spans="19:26" ht="15" customHeight="1" x14ac:dyDescent="0.25">
      <c r="S1463"/>
      <c r="T1463"/>
      <c r="U1463"/>
      <c r="V1463"/>
      <c r="W1463"/>
      <c r="X1463"/>
      <c r="Y1463"/>
      <c r="Z1463"/>
    </row>
    <row r="1464" spans="19:26" ht="15" customHeight="1" x14ac:dyDescent="0.25">
      <c r="S1464"/>
      <c r="T1464"/>
      <c r="U1464"/>
      <c r="V1464"/>
      <c r="W1464"/>
      <c r="X1464"/>
      <c r="Y1464"/>
      <c r="Z1464"/>
    </row>
    <row r="1465" spans="19:26" ht="15" customHeight="1" x14ac:dyDescent="0.25">
      <c r="S1465"/>
      <c r="T1465"/>
      <c r="U1465"/>
      <c r="V1465"/>
      <c r="W1465"/>
      <c r="X1465"/>
      <c r="Y1465"/>
      <c r="Z1465"/>
    </row>
    <row r="1466" spans="19:26" ht="15" customHeight="1" x14ac:dyDescent="0.25">
      <c r="S1466"/>
      <c r="T1466"/>
      <c r="U1466"/>
      <c r="V1466"/>
      <c r="W1466"/>
      <c r="X1466"/>
      <c r="Y1466"/>
      <c r="Z1466"/>
    </row>
    <row r="1467" spans="19:26" ht="15" customHeight="1" x14ac:dyDescent="0.25">
      <c r="S1467"/>
      <c r="T1467"/>
      <c r="U1467"/>
      <c r="V1467"/>
      <c r="W1467"/>
      <c r="X1467"/>
      <c r="Y1467"/>
      <c r="Z1467"/>
    </row>
    <row r="1468" spans="19:26" ht="15" customHeight="1" x14ac:dyDescent="0.25">
      <c r="S1468"/>
      <c r="T1468"/>
      <c r="U1468"/>
      <c r="V1468"/>
      <c r="W1468"/>
      <c r="X1468"/>
      <c r="Y1468"/>
      <c r="Z1468"/>
    </row>
    <row r="1469" spans="19:26" ht="15" customHeight="1" x14ac:dyDescent="0.25">
      <c r="S1469"/>
      <c r="T1469"/>
      <c r="U1469"/>
      <c r="V1469"/>
      <c r="W1469"/>
      <c r="X1469"/>
      <c r="Y1469"/>
      <c r="Z1469"/>
    </row>
    <row r="1470" spans="19:26" ht="15" customHeight="1" x14ac:dyDescent="0.25">
      <c r="S1470"/>
      <c r="T1470"/>
      <c r="U1470"/>
      <c r="V1470"/>
      <c r="W1470"/>
      <c r="X1470"/>
      <c r="Y1470"/>
      <c r="Z1470"/>
    </row>
    <row r="1471" spans="19:26" ht="15" customHeight="1" x14ac:dyDescent="0.25">
      <c r="S1471"/>
      <c r="T1471"/>
      <c r="U1471"/>
      <c r="V1471"/>
      <c r="W1471"/>
      <c r="X1471"/>
      <c r="Y1471"/>
      <c r="Z1471"/>
    </row>
    <row r="1472" spans="19:26" ht="15" customHeight="1" x14ac:dyDescent="0.25">
      <c r="S1472"/>
      <c r="T1472"/>
      <c r="U1472"/>
      <c r="V1472"/>
      <c r="W1472"/>
      <c r="X1472"/>
      <c r="Y1472"/>
      <c r="Z1472"/>
    </row>
    <row r="1473" spans="19:26" ht="15" customHeight="1" x14ac:dyDescent="0.25">
      <c r="S1473"/>
      <c r="T1473"/>
      <c r="U1473"/>
      <c r="V1473"/>
      <c r="W1473"/>
      <c r="X1473"/>
      <c r="Y1473"/>
      <c r="Z1473"/>
    </row>
    <row r="1474" spans="19:26" ht="15" customHeight="1" x14ac:dyDescent="0.25">
      <c r="S1474"/>
      <c r="T1474"/>
      <c r="U1474"/>
      <c r="V1474"/>
      <c r="W1474"/>
      <c r="X1474"/>
      <c r="Y1474"/>
      <c r="Z1474"/>
    </row>
    <row r="1475" spans="19:26" ht="15" customHeight="1" x14ac:dyDescent="0.25">
      <c r="S1475"/>
      <c r="T1475"/>
      <c r="U1475"/>
      <c r="V1475"/>
      <c r="W1475"/>
      <c r="X1475"/>
      <c r="Y1475"/>
      <c r="Z1475"/>
    </row>
    <row r="1476" spans="19:26" ht="15" customHeight="1" x14ac:dyDescent="0.25">
      <c r="S1476"/>
      <c r="T1476"/>
      <c r="U1476"/>
      <c r="V1476"/>
      <c r="W1476"/>
      <c r="X1476"/>
      <c r="Y1476"/>
      <c r="Z1476"/>
    </row>
    <row r="1477" spans="19:26" ht="15" customHeight="1" x14ac:dyDescent="0.25">
      <c r="S1477"/>
      <c r="T1477"/>
      <c r="U1477"/>
      <c r="V1477"/>
      <c r="W1477"/>
      <c r="X1477"/>
      <c r="Y1477"/>
      <c r="Z1477"/>
    </row>
    <row r="1478" spans="19:26" ht="15" customHeight="1" x14ac:dyDescent="0.25">
      <c r="S1478"/>
      <c r="T1478"/>
      <c r="U1478"/>
      <c r="V1478"/>
      <c r="W1478"/>
      <c r="X1478"/>
      <c r="Y1478"/>
      <c r="Z1478"/>
    </row>
    <row r="1479" spans="19:26" ht="15" customHeight="1" x14ac:dyDescent="0.25">
      <c r="S1479"/>
      <c r="T1479"/>
      <c r="U1479"/>
      <c r="V1479"/>
      <c r="W1479"/>
      <c r="X1479"/>
      <c r="Y1479"/>
      <c r="Z1479"/>
    </row>
    <row r="1480" spans="19:26" ht="15" customHeight="1" x14ac:dyDescent="0.25">
      <c r="S1480"/>
      <c r="T1480"/>
      <c r="U1480"/>
      <c r="V1480"/>
      <c r="W1480"/>
      <c r="X1480"/>
      <c r="Y1480"/>
      <c r="Z1480"/>
    </row>
    <row r="1481" spans="19:26" ht="15" customHeight="1" x14ac:dyDescent="0.25">
      <c r="S1481"/>
      <c r="T1481"/>
      <c r="U1481"/>
      <c r="V1481"/>
      <c r="W1481"/>
      <c r="X1481"/>
      <c r="Y1481"/>
      <c r="Z1481"/>
    </row>
    <row r="1482" spans="19:26" ht="15" customHeight="1" x14ac:dyDescent="0.25">
      <c r="S1482"/>
      <c r="T1482"/>
      <c r="U1482"/>
      <c r="V1482"/>
      <c r="W1482"/>
      <c r="X1482"/>
      <c r="Y1482"/>
      <c r="Z1482"/>
    </row>
    <row r="1483" spans="19:26" ht="15" customHeight="1" x14ac:dyDescent="0.25">
      <c r="S1483"/>
      <c r="T1483"/>
      <c r="U1483"/>
      <c r="V1483"/>
      <c r="W1483"/>
      <c r="X1483"/>
      <c r="Y1483"/>
      <c r="Z1483"/>
    </row>
    <row r="1484" spans="19:26" ht="15" customHeight="1" x14ac:dyDescent="0.25">
      <c r="S1484"/>
      <c r="T1484"/>
      <c r="U1484"/>
      <c r="V1484"/>
      <c r="W1484"/>
      <c r="X1484"/>
      <c r="Y1484"/>
      <c r="Z1484"/>
    </row>
    <row r="1485" spans="19:26" ht="15" customHeight="1" x14ac:dyDescent="0.25">
      <c r="S1485"/>
      <c r="T1485"/>
      <c r="U1485"/>
      <c r="V1485"/>
      <c r="W1485"/>
      <c r="X1485"/>
      <c r="Y1485"/>
      <c r="Z1485"/>
    </row>
    <row r="1486" spans="19:26" ht="15" customHeight="1" x14ac:dyDescent="0.25">
      <c r="S1486"/>
      <c r="T1486"/>
      <c r="U1486"/>
      <c r="V1486"/>
      <c r="W1486"/>
      <c r="X1486"/>
      <c r="Y1486"/>
      <c r="Z1486"/>
    </row>
    <row r="1487" spans="19:26" ht="15" customHeight="1" x14ac:dyDescent="0.25">
      <c r="S1487"/>
      <c r="T1487"/>
      <c r="U1487"/>
      <c r="V1487"/>
      <c r="W1487"/>
      <c r="X1487"/>
      <c r="Y1487"/>
      <c r="Z1487"/>
    </row>
    <row r="1488" spans="19:26" ht="15" customHeight="1" x14ac:dyDescent="0.25">
      <c r="S1488"/>
      <c r="T1488"/>
      <c r="U1488"/>
      <c r="V1488"/>
      <c r="W1488"/>
      <c r="X1488"/>
      <c r="Y1488"/>
      <c r="Z1488"/>
    </row>
    <row r="1489" spans="19:26" ht="15" customHeight="1" x14ac:dyDescent="0.25">
      <c r="S1489"/>
      <c r="T1489"/>
      <c r="U1489"/>
      <c r="V1489"/>
      <c r="W1489"/>
      <c r="X1489"/>
      <c r="Y1489"/>
      <c r="Z1489"/>
    </row>
    <row r="1490" spans="19:26" ht="15" customHeight="1" x14ac:dyDescent="0.25">
      <c r="S1490"/>
      <c r="T1490"/>
      <c r="U1490"/>
      <c r="V1490"/>
      <c r="W1490"/>
      <c r="X1490"/>
      <c r="Y1490"/>
      <c r="Z1490"/>
    </row>
    <row r="1491" spans="19:26" ht="15" customHeight="1" x14ac:dyDescent="0.25">
      <c r="S1491"/>
      <c r="T1491"/>
      <c r="U1491"/>
      <c r="V1491"/>
      <c r="W1491"/>
      <c r="X1491"/>
      <c r="Y1491"/>
      <c r="Z1491"/>
    </row>
    <row r="1492" spans="19:26" ht="15" customHeight="1" x14ac:dyDescent="0.25">
      <c r="S1492"/>
      <c r="T1492"/>
      <c r="U1492"/>
      <c r="V1492"/>
      <c r="W1492"/>
      <c r="X1492"/>
      <c r="Y1492"/>
      <c r="Z1492"/>
    </row>
    <row r="1493" spans="19:26" ht="15" customHeight="1" x14ac:dyDescent="0.25">
      <c r="S1493"/>
      <c r="T1493"/>
      <c r="U1493"/>
      <c r="V1493"/>
      <c r="W1493"/>
      <c r="X1493"/>
      <c r="Y1493"/>
      <c r="Z1493"/>
    </row>
    <row r="1494" spans="19:26" ht="15" customHeight="1" x14ac:dyDescent="0.25">
      <c r="S1494"/>
      <c r="T1494"/>
      <c r="U1494"/>
      <c r="V1494"/>
      <c r="W1494"/>
      <c r="X1494"/>
      <c r="Y1494"/>
      <c r="Z1494"/>
    </row>
    <row r="1495" spans="19:26" ht="15" customHeight="1" x14ac:dyDescent="0.25">
      <c r="S1495"/>
      <c r="T1495"/>
      <c r="U1495"/>
      <c r="V1495"/>
      <c r="W1495"/>
      <c r="X1495"/>
      <c r="Y1495"/>
      <c r="Z1495"/>
    </row>
    <row r="1496" spans="19:26" ht="15" customHeight="1" x14ac:dyDescent="0.25">
      <c r="S1496"/>
      <c r="T1496"/>
      <c r="U1496"/>
      <c r="V1496"/>
      <c r="W1496"/>
      <c r="X1496"/>
      <c r="Y1496"/>
      <c r="Z1496"/>
    </row>
    <row r="1497" spans="19:26" ht="15" customHeight="1" x14ac:dyDescent="0.25">
      <c r="S1497"/>
      <c r="T1497"/>
      <c r="U1497"/>
      <c r="V1497"/>
      <c r="W1497"/>
      <c r="X1497"/>
      <c r="Y1497"/>
      <c r="Z1497"/>
    </row>
    <row r="1498" spans="19:26" ht="15" customHeight="1" x14ac:dyDescent="0.25">
      <c r="S1498"/>
      <c r="T1498"/>
      <c r="U1498"/>
      <c r="V1498"/>
      <c r="W1498"/>
      <c r="X1498"/>
      <c r="Y1498"/>
      <c r="Z1498"/>
    </row>
    <row r="1499" spans="19:26" ht="15" customHeight="1" x14ac:dyDescent="0.25">
      <c r="S1499"/>
      <c r="T1499"/>
      <c r="U1499"/>
      <c r="V1499"/>
      <c r="W1499"/>
      <c r="X1499"/>
      <c r="Y1499"/>
      <c r="Z1499"/>
    </row>
    <row r="1500" spans="19:26" ht="15" customHeight="1" x14ac:dyDescent="0.25">
      <c r="S1500"/>
      <c r="T1500"/>
      <c r="U1500"/>
      <c r="V1500"/>
      <c r="W1500"/>
      <c r="X1500"/>
      <c r="Y1500"/>
      <c r="Z1500"/>
    </row>
    <row r="1501" spans="19:26" ht="15" customHeight="1" x14ac:dyDescent="0.25">
      <c r="S1501"/>
      <c r="T1501"/>
      <c r="U1501"/>
      <c r="V1501"/>
      <c r="W1501"/>
      <c r="X1501"/>
      <c r="Y1501"/>
      <c r="Z1501"/>
    </row>
    <row r="1502" spans="19:26" ht="15" customHeight="1" x14ac:dyDescent="0.25">
      <c r="S1502"/>
      <c r="T1502"/>
      <c r="U1502"/>
      <c r="V1502"/>
      <c r="W1502"/>
      <c r="X1502"/>
      <c r="Y1502"/>
      <c r="Z1502"/>
    </row>
    <row r="1503" spans="19:26" ht="15" customHeight="1" x14ac:dyDescent="0.25">
      <c r="S1503"/>
      <c r="T1503"/>
      <c r="U1503"/>
      <c r="V1503"/>
      <c r="W1503"/>
      <c r="X1503"/>
      <c r="Y1503"/>
      <c r="Z1503"/>
    </row>
    <row r="1504" spans="19:26" ht="15" customHeight="1" x14ac:dyDescent="0.25">
      <c r="S1504"/>
      <c r="T1504"/>
      <c r="U1504"/>
      <c r="V1504"/>
      <c r="W1504"/>
      <c r="X1504"/>
      <c r="Y1504"/>
      <c r="Z1504"/>
    </row>
    <row r="1505" spans="19:26" ht="15" customHeight="1" x14ac:dyDescent="0.25">
      <c r="S1505"/>
      <c r="T1505"/>
      <c r="U1505"/>
      <c r="V1505"/>
      <c r="W1505"/>
      <c r="X1505"/>
      <c r="Y1505"/>
      <c r="Z1505"/>
    </row>
    <row r="1506" spans="19:26" ht="15" customHeight="1" x14ac:dyDescent="0.25">
      <c r="S1506"/>
      <c r="T1506"/>
      <c r="U1506"/>
      <c r="V1506"/>
      <c r="W1506"/>
      <c r="X1506"/>
      <c r="Y1506"/>
      <c r="Z1506"/>
    </row>
    <row r="1507" spans="19:26" ht="15" customHeight="1" x14ac:dyDescent="0.25">
      <c r="S1507"/>
      <c r="T1507"/>
      <c r="U1507"/>
      <c r="V1507"/>
      <c r="W1507"/>
      <c r="X1507"/>
      <c r="Y1507"/>
      <c r="Z1507"/>
    </row>
    <row r="1508" spans="19:26" ht="15" customHeight="1" x14ac:dyDescent="0.25">
      <c r="S1508"/>
      <c r="T1508"/>
      <c r="U1508"/>
      <c r="V1508"/>
      <c r="W1508"/>
      <c r="X1508"/>
      <c r="Y1508"/>
      <c r="Z1508"/>
    </row>
    <row r="1509" spans="19:26" ht="15" customHeight="1" x14ac:dyDescent="0.25">
      <c r="S1509"/>
      <c r="T1509"/>
      <c r="U1509"/>
      <c r="V1509"/>
      <c r="W1509"/>
      <c r="X1509"/>
      <c r="Y1509"/>
      <c r="Z1509"/>
    </row>
    <row r="1510" spans="19:26" ht="15" customHeight="1" x14ac:dyDescent="0.25">
      <c r="S1510"/>
      <c r="T1510"/>
      <c r="U1510"/>
      <c r="V1510"/>
      <c r="W1510"/>
      <c r="X1510"/>
      <c r="Y1510"/>
      <c r="Z1510"/>
    </row>
    <row r="1511" spans="19:26" ht="15" customHeight="1" x14ac:dyDescent="0.25">
      <c r="S1511"/>
      <c r="T1511"/>
      <c r="U1511"/>
      <c r="V1511"/>
      <c r="W1511"/>
      <c r="X1511"/>
      <c r="Y1511"/>
      <c r="Z1511"/>
    </row>
    <row r="1512" spans="19:26" ht="15" customHeight="1" x14ac:dyDescent="0.25">
      <c r="S1512"/>
      <c r="T1512"/>
      <c r="U1512"/>
      <c r="V1512"/>
      <c r="W1512"/>
      <c r="X1512"/>
      <c r="Y1512"/>
      <c r="Z1512"/>
    </row>
    <row r="1513" spans="19:26" ht="15" customHeight="1" x14ac:dyDescent="0.25">
      <c r="S1513"/>
      <c r="T1513"/>
      <c r="U1513"/>
      <c r="V1513"/>
      <c r="W1513"/>
      <c r="X1513"/>
      <c r="Y1513"/>
      <c r="Z1513"/>
    </row>
    <row r="1514" spans="19:26" ht="15" customHeight="1" x14ac:dyDescent="0.25">
      <c r="S1514"/>
      <c r="T1514"/>
      <c r="U1514"/>
      <c r="V1514"/>
      <c r="W1514"/>
      <c r="X1514"/>
      <c r="Y1514"/>
      <c r="Z1514"/>
    </row>
    <row r="1515" spans="19:26" ht="15" customHeight="1" x14ac:dyDescent="0.25">
      <c r="S1515"/>
      <c r="T1515"/>
      <c r="U1515"/>
      <c r="V1515"/>
      <c r="W1515"/>
      <c r="X1515"/>
      <c r="Y1515"/>
      <c r="Z1515"/>
    </row>
    <row r="1516" spans="19:26" ht="15" customHeight="1" x14ac:dyDescent="0.25">
      <c r="S1516"/>
      <c r="T1516"/>
      <c r="U1516"/>
      <c r="V1516"/>
      <c r="W1516"/>
      <c r="X1516"/>
      <c r="Y1516"/>
      <c r="Z1516"/>
    </row>
    <row r="1517" spans="19:26" ht="15" customHeight="1" x14ac:dyDescent="0.25">
      <c r="S1517"/>
      <c r="T1517"/>
      <c r="U1517"/>
      <c r="V1517"/>
      <c r="W1517"/>
      <c r="X1517"/>
      <c r="Y1517"/>
      <c r="Z1517"/>
    </row>
    <row r="1518" spans="19:26" ht="15" customHeight="1" x14ac:dyDescent="0.25">
      <c r="S1518"/>
      <c r="T1518"/>
      <c r="U1518"/>
      <c r="V1518"/>
      <c r="W1518"/>
      <c r="X1518"/>
      <c r="Y1518"/>
      <c r="Z1518"/>
    </row>
    <row r="1519" spans="19:26" ht="15" customHeight="1" x14ac:dyDescent="0.25">
      <c r="S1519"/>
      <c r="T1519"/>
      <c r="U1519"/>
      <c r="V1519"/>
      <c r="W1519"/>
      <c r="X1519"/>
      <c r="Y1519"/>
      <c r="Z1519"/>
    </row>
    <row r="1520" spans="19:26" ht="15" customHeight="1" x14ac:dyDescent="0.25">
      <c r="S1520"/>
      <c r="T1520"/>
      <c r="U1520"/>
      <c r="V1520"/>
      <c r="W1520"/>
      <c r="X1520"/>
      <c r="Y1520"/>
      <c r="Z1520"/>
    </row>
    <row r="1521" spans="19:26" ht="15" customHeight="1" x14ac:dyDescent="0.25">
      <c r="S1521"/>
      <c r="T1521"/>
      <c r="U1521"/>
      <c r="V1521"/>
      <c r="W1521"/>
      <c r="X1521"/>
      <c r="Y1521"/>
      <c r="Z1521"/>
    </row>
    <row r="1522" spans="19:26" ht="15" customHeight="1" x14ac:dyDescent="0.25">
      <c r="S1522"/>
      <c r="T1522"/>
      <c r="U1522"/>
      <c r="V1522"/>
      <c r="W1522"/>
      <c r="X1522"/>
      <c r="Y1522"/>
      <c r="Z1522"/>
    </row>
    <row r="1523" spans="19:26" ht="15" customHeight="1" x14ac:dyDescent="0.25">
      <c r="S1523"/>
      <c r="T1523"/>
      <c r="U1523"/>
      <c r="V1523"/>
      <c r="W1523"/>
      <c r="X1523"/>
      <c r="Y1523"/>
      <c r="Z1523"/>
    </row>
    <row r="1524" spans="19:26" ht="15" customHeight="1" x14ac:dyDescent="0.25">
      <c r="S1524"/>
      <c r="T1524"/>
      <c r="U1524"/>
      <c r="V1524"/>
      <c r="W1524"/>
      <c r="X1524"/>
      <c r="Y1524"/>
      <c r="Z1524"/>
    </row>
    <row r="1525" spans="19:26" ht="15" customHeight="1" x14ac:dyDescent="0.25">
      <c r="S1525"/>
      <c r="T1525"/>
      <c r="U1525"/>
      <c r="V1525"/>
      <c r="W1525"/>
      <c r="X1525"/>
      <c r="Y1525"/>
      <c r="Z1525"/>
    </row>
    <row r="1526" spans="19:26" ht="15" customHeight="1" x14ac:dyDescent="0.25">
      <c r="S1526"/>
      <c r="T1526"/>
      <c r="U1526"/>
      <c r="V1526"/>
      <c r="W1526"/>
      <c r="X1526"/>
      <c r="Y1526"/>
      <c r="Z1526"/>
    </row>
    <row r="1527" spans="19:26" ht="15" customHeight="1" x14ac:dyDescent="0.25">
      <c r="S1527"/>
      <c r="T1527"/>
      <c r="U1527"/>
      <c r="V1527"/>
      <c r="W1527"/>
      <c r="X1527"/>
      <c r="Y1527"/>
      <c r="Z1527"/>
    </row>
    <row r="1528" spans="19:26" ht="15" customHeight="1" x14ac:dyDescent="0.25">
      <c r="S1528"/>
      <c r="T1528"/>
      <c r="U1528"/>
      <c r="V1528"/>
      <c r="W1528"/>
      <c r="X1528"/>
      <c r="Y1528"/>
      <c r="Z1528"/>
    </row>
    <row r="1529" spans="19:26" ht="15" customHeight="1" x14ac:dyDescent="0.25">
      <c r="S1529"/>
      <c r="T1529"/>
      <c r="U1529"/>
      <c r="V1529"/>
      <c r="W1529"/>
      <c r="X1529"/>
      <c r="Y1529"/>
      <c r="Z1529"/>
    </row>
    <row r="1530" spans="19:26" ht="15" customHeight="1" x14ac:dyDescent="0.25">
      <c r="S1530"/>
      <c r="T1530"/>
      <c r="U1530"/>
      <c r="V1530"/>
      <c r="W1530"/>
      <c r="X1530"/>
      <c r="Y1530"/>
      <c r="Z1530"/>
    </row>
    <row r="1531" spans="19:26" ht="15" customHeight="1" x14ac:dyDescent="0.25">
      <c r="S1531"/>
      <c r="T1531"/>
      <c r="U1531"/>
      <c r="V1531"/>
      <c r="W1531"/>
      <c r="X1531"/>
      <c r="Y1531"/>
      <c r="Z1531"/>
    </row>
    <row r="1532" spans="19:26" ht="15" customHeight="1" x14ac:dyDescent="0.25">
      <c r="S1532"/>
      <c r="T1532"/>
      <c r="U1532"/>
      <c r="V1532"/>
      <c r="W1532"/>
      <c r="X1532"/>
      <c r="Y1532"/>
      <c r="Z1532"/>
    </row>
    <row r="1533" spans="19:26" ht="15" customHeight="1" x14ac:dyDescent="0.25">
      <c r="S1533"/>
      <c r="T1533"/>
      <c r="U1533"/>
      <c r="V1533"/>
      <c r="W1533"/>
      <c r="X1533"/>
      <c r="Y1533"/>
      <c r="Z1533"/>
    </row>
    <row r="1534" spans="19:26" ht="15" customHeight="1" x14ac:dyDescent="0.25">
      <c r="S1534"/>
      <c r="T1534"/>
      <c r="U1534"/>
      <c r="V1534"/>
      <c r="W1534"/>
      <c r="X1534"/>
      <c r="Y1534"/>
      <c r="Z1534"/>
    </row>
    <row r="1535" spans="19:26" ht="15" customHeight="1" x14ac:dyDescent="0.25">
      <c r="S1535"/>
      <c r="T1535"/>
      <c r="U1535"/>
      <c r="V1535"/>
      <c r="W1535"/>
      <c r="X1535"/>
      <c r="Y1535"/>
      <c r="Z1535"/>
    </row>
    <row r="1536" spans="19:26" ht="15" customHeight="1" x14ac:dyDescent="0.25">
      <c r="S1536"/>
      <c r="T1536"/>
      <c r="U1536"/>
      <c r="V1536"/>
      <c r="W1536"/>
      <c r="X1536"/>
      <c r="Y1536"/>
      <c r="Z1536"/>
    </row>
    <row r="1537" spans="19:26" ht="15" customHeight="1" x14ac:dyDescent="0.25">
      <c r="S1537"/>
      <c r="T1537"/>
      <c r="U1537"/>
      <c r="V1537"/>
      <c r="W1537"/>
      <c r="X1537"/>
      <c r="Y1537"/>
      <c r="Z1537"/>
    </row>
    <row r="1538" spans="19:26" ht="15" customHeight="1" x14ac:dyDescent="0.25">
      <c r="S1538"/>
      <c r="T1538"/>
      <c r="U1538"/>
      <c r="V1538"/>
      <c r="W1538"/>
      <c r="X1538"/>
      <c r="Y1538"/>
      <c r="Z1538"/>
    </row>
    <row r="1539" spans="19:26" ht="15" customHeight="1" x14ac:dyDescent="0.25">
      <c r="S1539"/>
      <c r="T1539"/>
      <c r="U1539"/>
      <c r="V1539"/>
      <c r="W1539"/>
      <c r="X1539"/>
      <c r="Y1539"/>
      <c r="Z1539"/>
    </row>
    <row r="1540" spans="19:26" ht="15" customHeight="1" x14ac:dyDescent="0.25">
      <c r="S1540"/>
      <c r="T1540"/>
      <c r="U1540"/>
      <c r="V1540"/>
      <c r="W1540"/>
      <c r="X1540"/>
      <c r="Y1540"/>
      <c r="Z1540"/>
    </row>
    <row r="1541" spans="19:26" ht="15" customHeight="1" x14ac:dyDescent="0.25">
      <c r="S1541"/>
      <c r="T1541"/>
      <c r="U1541"/>
      <c r="V1541"/>
      <c r="W1541"/>
      <c r="X1541"/>
      <c r="Y1541"/>
      <c r="Z1541"/>
    </row>
    <row r="1542" spans="19:26" ht="15" customHeight="1" x14ac:dyDescent="0.25">
      <c r="S1542"/>
      <c r="T1542"/>
      <c r="U1542"/>
      <c r="V1542"/>
      <c r="W1542"/>
      <c r="X1542"/>
      <c r="Y1542"/>
      <c r="Z1542"/>
    </row>
    <row r="1543" spans="19:26" ht="15" customHeight="1" x14ac:dyDescent="0.25">
      <c r="S1543"/>
      <c r="T1543"/>
      <c r="U1543"/>
      <c r="V1543"/>
      <c r="W1543"/>
      <c r="X1543"/>
      <c r="Y1543"/>
      <c r="Z1543"/>
    </row>
    <row r="1544" spans="19:26" ht="15" customHeight="1" x14ac:dyDescent="0.25">
      <c r="S1544"/>
      <c r="T1544"/>
      <c r="U1544"/>
      <c r="V1544"/>
      <c r="W1544"/>
      <c r="X1544"/>
      <c r="Y1544"/>
      <c r="Z1544"/>
    </row>
    <row r="1545" spans="19:26" ht="15" customHeight="1" x14ac:dyDescent="0.25">
      <c r="S1545"/>
      <c r="T1545"/>
      <c r="U1545"/>
      <c r="V1545"/>
      <c r="W1545"/>
      <c r="X1545"/>
      <c r="Y1545"/>
      <c r="Z1545"/>
    </row>
    <row r="1546" spans="19:26" ht="15" customHeight="1" x14ac:dyDescent="0.25">
      <c r="S1546"/>
      <c r="T1546"/>
      <c r="U1546"/>
      <c r="V1546"/>
      <c r="W1546"/>
      <c r="X1546"/>
      <c r="Y1546"/>
      <c r="Z1546"/>
    </row>
    <row r="1547" spans="19:26" ht="15" customHeight="1" x14ac:dyDescent="0.25">
      <c r="S1547"/>
      <c r="T1547"/>
      <c r="U1547"/>
      <c r="V1547"/>
      <c r="W1547"/>
      <c r="X1547"/>
      <c r="Y1547"/>
      <c r="Z1547"/>
    </row>
    <row r="1548" spans="19:26" ht="15" customHeight="1" x14ac:dyDescent="0.25">
      <c r="S1548"/>
      <c r="T1548"/>
      <c r="U1548"/>
      <c r="V1548"/>
      <c r="W1548"/>
      <c r="X1548"/>
      <c r="Y1548"/>
      <c r="Z1548"/>
    </row>
    <row r="1549" spans="19:26" ht="15" customHeight="1" x14ac:dyDescent="0.25">
      <c r="S1549"/>
      <c r="T1549"/>
      <c r="U1549"/>
      <c r="V1549"/>
      <c r="W1549"/>
      <c r="X1549"/>
      <c r="Y1549"/>
      <c r="Z1549"/>
    </row>
    <row r="1550" spans="19:26" ht="15" customHeight="1" x14ac:dyDescent="0.25">
      <c r="S1550"/>
      <c r="T1550"/>
      <c r="U1550"/>
      <c r="V1550"/>
      <c r="W1550"/>
      <c r="X1550"/>
      <c r="Y1550"/>
      <c r="Z1550"/>
    </row>
    <row r="1551" spans="19:26" ht="15" customHeight="1" x14ac:dyDescent="0.25">
      <c r="S1551"/>
      <c r="T1551"/>
      <c r="U1551"/>
      <c r="V1551"/>
      <c r="W1551"/>
      <c r="X1551"/>
      <c r="Y1551"/>
      <c r="Z1551"/>
    </row>
    <row r="1552" spans="19:26" ht="15" customHeight="1" x14ac:dyDescent="0.25">
      <c r="S1552"/>
      <c r="T1552"/>
      <c r="U1552"/>
      <c r="V1552"/>
      <c r="W1552"/>
      <c r="X1552"/>
      <c r="Y1552"/>
      <c r="Z1552"/>
    </row>
    <row r="1553" spans="19:26" ht="15" customHeight="1" x14ac:dyDescent="0.25">
      <c r="S1553"/>
      <c r="T1553"/>
      <c r="U1553"/>
      <c r="V1553"/>
      <c r="W1553"/>
      <c r="X1553"/>
      <c r="Y1553"/>
      <c r="Z1553"/>
    </row>
    <row r="1554" spans="19:26" ht="15" customHeight="1" x14ac:dyDescent="0.25">
      <c r="S1554"/>
      <c r="T1554"/>
      <c r="U1554"/>
      <c r="V1554"/>
      <c r="W1554"/>
      <c r="X1554"/>
      <c r="Y1554"/>
      <c r="Z1554"/>
    </row>
    <row r="1555" spans="19:26" ht="15" customHeight="1" x14ac:dyDescent="0.25">
      <c r="S1555"/>
      <c r="T1555"/>
      <c r="U1555"/>
      <c r="V1555"/>
      <c r="W1555"/>
      <c r="X1555"/>
      <c r="Y1555"/>
      <c r="Z1555"/>
    </row>
    <row r="1556" spans="19:26" ht="15" customHeight="1" x14ac:dyDescent="0.25">
      <c r="S1556"/>
      <c r="T1556"/>
      <c r="U1556"/>
      <c r="V1556"/>
      <c r="W1556"/>
      <c r="X1556"/>
      <c r="Y1556"/>
      <c r="Z1556"/>
    </row>
    <row r="1557" spans="19:26" ht="15" customHeight="1" x14ac:dyDescent="0.25">
      <c r="S1557"/>
      <c r="T1557"/>
      <c r="U1557"/>
      <c r="V1557"/>
      <c r="W1557"/>
      <c r="X1557"/>
      <c r="Y1557"/>
      <c r="Z1557"/>
    </row>
    <row r="1558" spans="19:26" ht="15" customHeight="1" x14ac:dyDescent="0.25">
      <c r="S1558"/>
      <c r="T1558"/>
      <c r="U1558"/>
      <c r="V1558"/>
      <c r="W1558"/>
      <c r="X1558"/>
      <c r="Y1558"/>
      <c r="Z1558"/>
    </row>
    <row r="1559" spans="19:26" ht="15" customHeight="1" x14ac:dyDescent="0.25">
      <c r="S1559"/>
      <c r="T1559"/>
      <c r="U1559"/>
      <c r="V1559"/>
      <c r="W1559"/>
      <c r="X1559"/>
      <c r="Y1559"/>
      <c r="Z1559"/>
    </row>
    <row r="1560" spans="19:26" ht="15" customHeight="1" x14ac:dyDescent="0.25">
      <c r="S1560"/>
      <c r="T1560"/>
      <c r="U1560"/>
      <c r="V1560"/>
      <c r="W1560"/>
      <c r="X1560"/>
      <c r="Y1560"/>
      <c r="Z1560"/>
    </row>
    <row r="1561" spans="19:26" ht="15" customHeight="1" x14ac:dyDescent="0.25">
      <c r="S1561"/>
      <c r="T1561"/>
      <c r="U1561"/>
      <c r="V1561"/>
      <c r="W1561"/>
      <c r="X1561"/>
      <c r="Y1561"/>
      <c r="Z1561"/>
    </row>
    <row r="1562" spans="19:26" ht="15" customHeight="1" x14ac:dyDescent="0.25">
      <c r="S1562"/>
      <c r="T1562"/>
      <c r="U1562"/>
      <c r="V1562"/>
      <c r="W1562"/>
      <c r="X1562"/>
      <c r="Y1562"/>
      <c r="Z1562"/>
    </row>
    <row r="1563" spans="19:26" ht="15" customHeight="1" x14ac:dyDescent="0.25">
      <c r="S1563"/>
      <c r="T1563"/>
      <c r="U1563"/>
      <c r="V1563"/>
      <c r="W1563"/>
      <c r="X1563"/>
      <c r="Y1563"/>
      <c r="Z1563"/>
    </row>
    <row r="1564" spans="19:26" ht="15" customHeight="1" x14ac:dyDescent="0.25">
      <c r="S1564"/>
      <c r="T1564"/>
      <c r="U1564"/>
      <c r="V1564"/>
      <c r="W1564"/>
      <c r="X1564"/>
      <c r="Y1564"/>
      <c r="Z1564"/>
    </row>
    <row r="1565" spans="19:26" ht="15" customHeight="1" x14ac:dyDescent="0.25">
      <c r="S1565"/>
      <c r="T1565"/>
      <c r="U1565"/>
      <c r="V1565"/>
      <c r="W1565"/>
      <c r="X1565"/>
      <c r="Y1565"/>
      <c r="Z1565"/>
    </row>
    <row r="1566" spans="19:26" ht="15" customHeight="1" x14ac:dyDescent="0.25">
      <c r="S1566"/>
      <c r="T1566"/>
      <c r="U1566"/>
      <c r="V1566"/>
      <c r="W1566"/>
      <c r="X1566"/>
      <c r="Y1566"/>
      <c r="Z1566"/>
    </row>
    <row r="1567" spans="19:26" ht="15" customHeight="1" x14ac:dyDescent="0.25">
      <c r="S1567"/>
      <c r="T1567"/>
      <c r="U1567"/>
      <c r="V1567"/>
      <c r="W1567"/>
      <c r="X1567"/>
      <c r="Y1567"/>
      <c r="Z1567"/>
    </row>
    <row r="1568" spans="19:26" ht="15" customHeight="1" x14ac:dyDescent="0.25">
      <c r="S1568"/>
      <c r="T1568"/>
      <c r="U1568"/>
      <c r="V1568"/>
      <c r="W1568"/>
      <c r="X1568"/>
      <c r="Y1568"/>
      <c r="Z1568"/>
    </row>
    <row r="1569" spans="19:26" ht="15" customHeight="1" x14ac:dyDescent="0.25">
      <c r="S1569"/>
      <c r="T1569"/>
      <c r="U1569"/>
      <c r="V1569"/>
      <c r="W1569"/>
      <c r="X1569"/>
      <c r="Y1569"/>
      <c r="Z1569"/>
    </row>
    <row r="1570" spans="19:26" ht="15" customHeight="1" x14ac:dyDescent="0.25">
      <c r="S1570"/>
      <c r="T1570"/>
      <c r="U1570"/>
      <c r="V1570"/>
      <c r="W1570"/>
      <c r="X1570"/>
      <c r="Y1570"/>
      <c r="Z1570"/>
    </row>
    <row r="1571" spans="19:26" ht="15" customHeight="1" x14ac:dyDescent="0.25">
      <c r="S1571"/>
      <c r="T1571"/>
      <c r="U1571"/>
      <c r="V1571"/>
      <c r="W1571"/>
      <c r="X1571"/>
      <c r="Y1571"/>
      <c r="Z1571"/>
    </row>
    <row r="1572" spans="19:26" ht="15" customHeight="1" x14ac:dyDescent="0.25">
      <c r="S1572"/>
      <c r="T1572"/>
      <c r="U1572"/>
      <c r="V1572"/>
      <c r="W1572"/>
      <c r="X1572"/>
      <c r="Y1572"/>
      <c r="Z1572"/>
    </row>
    <row r="1573" spans="19:26" ht="15" customHeight="1" x14ac:dyDescent="0.25">
      <c r="S1573"/>
      <c r="T1573"/>
      <c r="U1573"/>
      <c r="V1573"/>
      <c r="W1573"/>
      <c r="X1573"/>
      <c r="Y1573"/>
      <c r="Z1573"/>
    </row>
    <row r="1574" spans="19:26" ht="15" customHeight="1" x14ac:dyDescent="0.25">
      <c r="S1574"/>
      <c r="T1574"/>
      <c r="U1574"/>
      <c r="V1574"/>
      <c r="W1574"/>
      <c r="X1574"/>
      <c r="Y1574"/>
      <c r="Z1574"/>
    </row>
    <row r="1575" spans="19:26" ht="15" customHeight="1" x14ac:dyDescent="0.25">
      <c r="S1575"/>
      <c r="T1575"/>
      <c r="U1575"/>
      <c r="V1575"/>
      <c r="W1575"/>
      <c r="X1575"/>
      <c r="Y1575"/>
      <c r="Z1575"/>
    </row>
    <row r="1576" spans="19:26" ht="15" customHeight="1" x14ac:dyDescent="0.25">
      <c r="S1576"/>
      <c r="T1576"/>
      <c r="U1576"/>
      <c r="V1576"/>
      <c r="W1576"/>
      <c r="X1576"/>
      <c r="Y1576"/>
      <c r="Z1576"/>
    </row>
    <row r="1577" spans="19:26" ht="15" customHeight="1" x14ac:dyDescent="0.25">
      <c r="S1577"/>
      <c r="T1577"/>
      <c r="U1577"/>
      <c r="V1577"/>
      <c r="W1577"/>
      <c r="X1577"/>
      <c r="Y1577"/>
      <c r="Z1577"/>
    </row>
    <row r="1578" spans="19:26" ht="15" customHeight="1" x14ac:dyDescent="0.25">
      <c r="S1578"/>
      <c r="T1578"/>
      <c r="U1578"/>
      <c r="V1578"/>
      <c r="W1578"/>
      <c r="X1578"/>
      <c r="Y1578"/>
      <c r="Z1578"/>
    </row>
    <row r="1579" spans="19:26" ht="15" customHeight="1" x14ac:dyDescent="0.25">
      <c r="S1579"/>
      <c r="T1579"/>
      <c r="U1579"/>
      <c r="V1579"/>
      <c r="W1579"/>
      <c r="X1579"/>
      <c r="Y1579"/>
      <c r="Z1579"/>
    </row>
    <row r="1580" spans="19:26" ht="15" customHeight="1" x14ac:dyDescent="0.25">
      <c r="S1580"/>
      <c r="T1580"/>
      <c r="U1580"/>
      <c r="V1580"/>
      <c r="W1580"/>
      <c r="X1580"/>
      <c r="Y1580"/>
      <c r="Z1580"/>
    </row>
    <row r="1581" spans="19:26" ht="15" customHeight="1" x14ac:dyDescent="0.25">
      <c r="S1581"/>
      <c r="T1581"/>
      <c r="U1581"/>
      <c r="V1581"/>
      <c r="W1581"/>
      <c r="X1581"/>
      <c r="Y1581"/>
      <c r="Z1581"/>
    </row>
    <row r="1582" spans="19:26" ht="15" customHeight="1" x14ac:dyDescent="0.25">
      <c r="S1582"/>
      <c r="T1582"/>
      <c r="U1582"/>
      <c r="V1582"/>
      <c r="W1582"/>
      <c r="X1582"/>
      <c r="Y1582"/>
      <c r="Z1582"/>
    </row>
    <row r="1583" spans="19:26" ht="15" customHeight="1" x14ac:dyDescent="0.25">
      <c r="S1583"/>
      <c r="T1583"/>
      <c r="U1583"/>
      <c r="V1583"/>
      <c r="W1583"/>
      <c r="X1583"/>
      <c r="Y1583"/>
      <c r="Z1583"/>
    </row>
    <row r="1584" spans="19:26" ht="15" customHeight="1" x14ac:dyDescent="0.25">
      <c r="S1584"/>
      <c r="T1584"/>
      <c r="U1584"/>
      <c r="V1584"/>
      <c r="W1584"/>
      <c r="X1584"/>
      <c r="Y1584"/>
      <c r="Z1584"/>
    </row>
    <row r="1585" spans="19:26" ht="15" customHeight="1" x14ac:dyDescent="0.25">
      <c r="S1585"/>
      <c r="T1585"/>
      <c r="U1585"/>
      <c r="V1585"/>
      <c r="W1585"/>
      <c r="X1585"/>
      <c r="Y1585"/>
      <c r="Z1585"/>
    </row>
    <row r="1586" spans="19:26" ht="15" customHeight="1" x14ac:dyDescent="0.25">
      <c r="S1586"/>
      <c r="T1586"/>
      <c r="U1586"/>
      <c r="V1586"/>
      <c r="W1586"/>
      <c r="X1586"/>
      <c r="Y1586"/>
      <c r="Z1586"/>
    </row>
    <row r="1587" spans="19:26" ht="15" customHeight="1" x14ac:dyDescent="0.25">
      <c r="S1587"/>
      <c r="T1587"/>
      <c r="U1587"/>
      <c r="V1587"/>
      <c r="W1587"/>
      <c r="X1587"/>
      <c r="Y1587"/>
      <c r="Z1587"/>
    </row>
    <row r="1588" spans="19:26" ht="15" customHeight="1" x14ac:dyDescent="0.25">
      <c r="S1588"/>
      <c r="T1588"/>
      <c r="U1588"/>
      <c r="V1588"/>
      <c r="W1588"/>
      <c r="X1588"/>
      <c r="Y1588"/>
      <c r="Z1588"/>
    </row>
    <row r="1589" spans="19:26" ht="15" customHeight="1" x14ac:dyDescent="0.25">
      <c r="S1589"/>
      <c r="T1589"/>
      <c r="U1589"/>
      <c r="V1589"/>
      <c r="W1589"/>
      <c r="X1589"/>
      <c r="Y1589"/>
      <c r="Z1589"/>
    </row>
    <row r="1590" spans="19:26" ht="15" customHeight="1" x14ac:dyDescent="0.25">
      <c r="S1590"/>
      <c r="T1590"/>
      <c r="U1590"/>
      <c r="V1590"/>
      <c r="W1590"/>
      <c r="X1590"/>
      <c r="Y1590"/>
      <c r="Z1590"/>
    </row>
    <row r="1591" spans="19:26" ht="15" customHeight="1" x14ac:dyDescent="0.25">
      <c r="S1591"/>
      <c r="T1591"/>
      <c r="U1591"/>
      <c r="V1591"/>
      <c r="W1591"/>
      <c r="X1591"/>
      <c r="Y1591"/>
      <c r="Z1591"/>
    </row>
    <row r="1592" spans="19:26" ht="15" customHeight="1" x14ac:dyDescent="0.25">
      <c r="S1592"/>
      <c r="T1592"/>
      <c r="U1592"/>
      <c r="V1592"/>
      <c r="W1592"/>
      <c r="X1592"/>
      <c r="Y1592"/>
      <c r="Z1592"/>
    </row>
    <row r="1593" spans="19:26" ht="15" customHeight="1" x14ac:dyDescent="0.25">
      <c r="S1593"/>
      <c r="T1593"/>
      <c r="U1593"/>
      <c r="V1593"/>
      <c r="W1593"/>
      <c r="X1593"/>
      <c r="Y1593"/>
      <c r="Z1593"/>
    </row>
    <row r="1594" spans="19:26" ht="15" customHeight="1" x14ac:dyDescent="0.25">
      <c r="S1594"/>
      <c r="T1594"/>
      <c r="U1594"/>
      <c r="V1594"/>
      <c r="W1594"/>
      <c r="X1594"/>
      <c r="Y1594"/>
      <c r="Z1594"/>
    </row>
    <row r="1595" spans="19:26" ht="15" customHeight="1" x14ac:dyDescent="0.25">
      <c r="S1595"/>
      <c r="T1595"/>
      <c r="U1595"/>
      <c r="V1595"/>
      <c r="W1595"/>
      <c r="X1595"/>
      <c r="Y1595"/>
      <c r="Z1595"/>
    </row>
    <row r="1596" spans="19:26" ht="15" customHeight="1" x14ac:dyDescent="0.25">
      <c r="S1596"/>
      <c r="T1596"/>
      <c r="U1596"/>
      <c r="V1596"/>
      <c r="W1596"/>
      <c r="X1596"/>
      <c r="Y1596"/>
      <c r="Z1596"/>
    </row>
    <row r="1597" spans="19:26" ht="15" customHeight="1" x14ac:dyDescent="0.25">
      <c r="S1597"/>
      <c r="T1597"/>
      <c r="U1597"/>
      <c r="V1597"/>
      <c r="W1597"/>
      <c r="X1597"/>
      <c r="Y1597"/>
      <c r="Z1597"/>
    </row>
    <row r="1598" spans="19:26" ht="15" customHeight="1" x14ac:dyDescent="0.25">
      <c r="S1598"/>
      <c r="T1598"/>
      <c r="U1598"/>
      <c r="V1598"/>
      <c r="W1598"/>
      <c r="X1598"/>
      <c r="Y1598"/>
      <c r="Z1598"/>
    </row>
    <row r="1599" spans="19:26" ht="15" customHeight="1" x14ac:dyDescent="0.25">
      <c r="S1599"/>
      <c r="T1599"/>
      <c r="U1599"/>
      <c r="V1599"/>
      <c r="W1599"/>
      <c r="X1599"/>
      <c r="Y1599"/>
      <c r="Z1599"/>
    </row>
    <row r="1600" spans="19:26" ht="15" customHeight="1" x14ac:dyDescent="0.25">
      <c r="S1600"/>
      <c r="T1600"/>
      <c r="U1600"/>
      <c r="V1600"/>
      <c r="W1600"/>
      <c r="X1600"/>
      <c r="Y1600"/>
      <c r="Z1600"/>
    </row>
    <row r="1601" spans="19:26" ht="15" customHeight="1" x14ac:dyDescent="0.25">
      <c r="S1601"/>
      <c r="T1601"/>
      <c r="U1601"/>
      <c r="V1601"/>
      <c r="W1601"/>
      <c r="X1601"/>
      <c r="Y1601"/>
      <c r="Z1601"/>
    </row>
    <row r="1602" spans="19:26" ht="15" customHeight="1" x14ac:dyDescent="0.25">
      <c r="S1602"/>
      <c r="T1602"/>
      <c r="U1602"/>
      <c r="V1602"/>
      <c r="W1602"/>
      <c r="X1602"/>
      <c r="Y1602"/>
      <c r="Z1602"/>
    </row>
    <row r="1603" spans="19:26" ht="15" customHeight="1" x14ac:dyDescent="0.25">
      <c r="S1603"/>
      <c r="T1603"/>
      <c r="U1603"/>
      <c r="V1603"/>
      <c r="W1603"/>
      <c r="X1603"/>
      <c r="Y1603"/>
      <c r="Z1603"/>
    </row>
    <row r="1604" spans="19:26" ht="15" customHeight="1" x14ac:dyDescent="0.25">
      <c r="S1604"/>
      <c r="T1604"/>
      <c r="U1604"/>
      <c r="V1604"/>
      <c r="W1604"/>
      <c r="X1604"/>
      <c r="Y1604"/>
      <c r="Z1604"/>
    </row>
    <row r="1605" spans="19:26" ht="15" customHeight="1" x14ac:dyDescent="0.25">
      <c r="S1605"/>
      <c r="T1605"/>
      <c r="U1605"/>
      <c r="V1605"/>
      <c r="W1605"/>
      <c r="X1605"/>
      <c r="Y1605"/>
      <c r="Z1605"/>
    </row>
    <row r="1606" spans="19:26" ht="15" customHeight="1" x14ac:dyDescent="0.25">
      <c r="S1606"/>
      <c r="T1606"/>
      <c r="U1606"/>
      <c r="V1606"/>
      <c r="W1606"/>
      <c r="X1606"/>
      <c r="Y1606"/>
      <c r="Z1606"/>
    </row>
    <row r="1607" spans="19:26" ht="15" customHeight="1" x14ac:dyDescent="0.25">
      <c r="S1607"/>
      <c r="T1607"/>
      <c r="U1607"/>
      <c r="V1607"/>
      <c r="W1607"/>
      <c r="X1607"/>
      <c r="Y1607"/>
      <c r="Z1607"/>
    </row>
    <row r="1608" spans="19:26" ht="15" customHeight="1" x14ac:dyDescent="0.25">
      <c r="S1608"/>
      <c r="T1608"/>
      <c r="U1608"/>
      <c r="V1608"/>
      <c r="W1608"/>
      <c r="X1608"/>
      <c r="Y1608"/>
      <c r="Z1608"/>
    </row>
    <row r="1609" spans="19:26" ht="15" customHeight="1" x14ac:dyDescent="0.25">
      <c r="S1609"/>
      <c r="T1609"/>
      <c r="U1609"/>
      <c r="V1609"/>
      <c r="W1609"/>
      <c r="X1609"/>
      <c r="Y1609"/>
      <c r="Z1609"/>
    </row>
    <row r="1610" spans="19:26" ht="15" customHeight="1" x14ac:dyDescent="0.25">
      <c r="S1610"/>
      <c r="T1610"/>
      <c r="U1610"/>
      <c r="V1610"/>
      <c r="W1610"/>
      <c r="X1610"/>
      <c r="Y1610"/>
      <c r="Z1610"/>
    </row>
    <row r="1611" spans="19:26" ht="15" customHeight="1" x14ac:dyDescent="0.25">
      <c r="S1611"/>
      <c r="T1611"/>
      <c r="U1611"/>
      <c r="V1611"/>
      <c r="W1611"/>
      <c r="X1611"/>
      <c r="Y1611"/>
      <c r="Z1611"/>
    </row>
    <row r="1612" spans="19:26" ht="15" customHeight="1" x14ac:dyDescent="0.25">
      <c r="S1612"/>
      <c r="T1612"/>
      <c r="U1612"/>
      <c r="V1612"/>
      <c r="W1612"/>
      <c r="X1612"/>
      <c r="Y1612"/>
      <c r="Z1612"/>
    </row>
    <row r="1613" spans="19:26" ht="15" customHeight="1" x14ac:dyDescent="0.25">
      <c r="S1613"/>
      <c r="T1613"/>
      <c r="U1613"/>
      <c r="V1613"/>
      <c r="W1613"/>
      <c r="X1613"/>
      <c r="Y1613"/>
      <c r="Z1613"/>
    </row>
    <row r="1614" spans="19:26" ht="15" customHeight="1" x14ac:dyDescent="0.25">
      <c r="S1614"/>
      <c r="T1614"/>
      <c r="U1614"/>
      <c r="V1614"/>
      <c r="W1614"/>
      <c r="X1614"/>
      <c r="Y1614"/>
      <c r="Z1614"/>
    </row>
    <row r="1615" spans="19:26" ht="15" customHeight="1" x14ac:dyDescent="0.25">
      <c r="S1615"/>
      <c r="T1615"/>
      <c r="U1615"/>
      <c r="V1615"/>
      <c r="W1615"/>
      <c r="X1615"/>
      <c r="Y1615"/>
      <c r="Z1615"/>
    </row>
    <row r="1616" spans="19:26" ht="15" customHeight="1" x14ac:dyDescent="0.25">
      <c r="S1616"/>
      <c r="T1616"/>
      <c r="U1616"/>
      <c r="V1616"/>
      <c r="W1616"/>
      <c r="X1616"/>
      <c r="Y1616"/>
      <c r="Z1616"/>
    </row>
    <row r="1617" spans="19:26" ht="15" customHeight="1" x14ac:dyDescent="0.25">
      <c r="S1617"/>
      <c r="T1617"/>
      <c r="U1617"/>
      <c r="V1617"/>
      <c r="W1617"/>
      <c r="X1617"/>
      <c r="Y1617"/>
      <c r="Z1617"/>
    </row>
    <row r="1618" spans="19:26" ht="15" customHeight="1" x14ac:dyDescent="0.25">
      <c r="S1618"/>
      <c r="T1618"/>
      <c r="U1618"/>
      <c r="V1618"/>
      <c r="W1618"/>
      <c r="X1618"/>
      <c r="Y1618"/>
      <c r="Z1618"/>
    </row>
    <row r="1619" spans="19:26" ht="15" customHeight="1" x14ac:dyDescent="0.25">
      <c r="S1619"/>
      <c r="T1619"/>
      <c r="U1619"/>
      <c r="V1619"/>
      <c r="W1619"/>
      <c r="X1619"/>
      <c r="Y1619"/>
      <c r="Z1619"/>
    </row>
    <row r="1620" spans="19:26" ht="15" customHeight="1" x14ac:dyDescent="0.25">
      <c r="S1620"/>
      <c r="T1620"/>
      <c r="U1620"/>
      <c r="V1620"/>
      <c r="W1620"/>
      <c r="X1620"/>
      <c r="Y1620"/>
      <c r="Z1620"/>
    </row>
    <row r="1621" spans="19:26" ht="15" customHeight="1" x14ac:dyDescent="0.25">
      <c r="S1621"/>
      <c r="T1621"/>
      <c r="U1621"/>
      <c r="V1621"/>
      <c r="W1621"/>
      <c r="X1621"/>
      <c r="Y1621"/>
      <c r="Z1621"/>
    </row>
    <row r="1622" spans="19:26" ht="15" customHeight="1" x14ac:dyDescent="0.25">
      <c r="S1622"/>
      <c r="T1622"/>
      <c r="U1622"/>
      <c r="V1622"/>
      <c r="W1622"/>
      <c r="X1622"/>
      <c r="Y1622"/>
      <c r="Z1622"/>
    </row>
    <row r="1623" spans="19:26" ht="15" customHeight="1" x14ac:dyDescent="0.25">
      <c r="S1623"/>
      <c r="T1623"/>
      <c r="U1623"/>
      <c r="V1623"/>
      <c r="W1623"/>
      <c r="X1623"/>
      <c r="Y1623"/>
      <c r="Z1623"/>
    </row>
    <row r="1624" spans="19:26" ht="15" customHeight="1" x14ac:dyDescent="0.25">
      <c r="S1624"/>
      <c r="T1624"/>
      <c r="U1624"/>
      <c r="V1624"/>
      <c r="W1624"/>
      <c r="X1624"/>
      <c r="Y1624"/>
      <c r="Z1624"/>
    </row>
    <row r="1625" spans="19:26" ht="15" customHeight="1" x14ac:dyDescent="0.25">
      <c r="S1625"/>
      <c r="T1625"/>
      <c r="U1625"/>
      <c r="V1625"/>
      <c r="W1625"/>
      <c r="X1625"/>
      <c r="Y1625"/>
      <c r="Z1625"/>
    </row>
    <row r="1626" spans="19:26" ht="15" customHeight="1" x14ac:dyDescent="0.25">
      <c r="S1626"/>
      <c r="T1626"/>
      <c r="U1626"/>
      <c r="V1626"/>
      <c r="W1626"/>
      <c r="X1626"/>
      <c r="Y1626"/>
      <c r="Z1626"/>
    </row>
    <row r="1627" spans="19:26" ht="15" customHeight="1" x14ac:dyDescent="0.25">
      <c r="S1627"/>
      <c r="T1627"/>
      <c r="U1627"/>
      <c r="V1627"/>
      <c r="W1627"/>
      <c r="X1627"/>
      <c r="Y1627"/>
      <c r="Z1627"/>
    </row>
    <row r="1628" spans="19:26" ht="15" customHeight="1" x14ac:dyDescent="0.25">
      <c r="S1628"/>
      <c r="T1628"/>
      <c r="U1628"/>
      <c r="V1628"/>
      <c r="W1628"/>
      <c r="X1628"/>
      <c r="Y1628"/>
      <c r="Z1628"/>
    </row>
    <row r="1629" spans="19:26" ht="15" customHeight="1" x14ac:dyDescent="0.25">
      <c r="S1629"/>
      <c r="T1629"/>
      <c r="U1629"/>
      <c r="V1629"/>
      <c r="W1629"/>
      <c r="X1629"/>
      <c r="Y1629"/>
      <c r="Z1629"/>
    </row>
    <row r="1630" spans="19:26" ht="15" customHeight="1" x14ac:dyDescent="0.25">
      <c r="S1630"/>
      <c r="T1630"/>
      <c r="U1630"/>
      <c r="V1630"/>
      <c r="W1630"/>
      <c r="X1630"/>
      <c r="Y1630"/>
      <c r="Z1630"/>
    </row>
    <row r="1631" spans="19:26" ht="15" customHeight="1" x14ac:dyDescent="0.25">
      <c r="S1631"/>
      <c r="T1631"/>
      <c r="U1631"/>
      <c r="V1631"/>
      <c r="W1631"/>
      <c r="X1631"/>
      <c r="Y1631"/>
      <c r="Z1631"/>
    </row>
    <row r="1632" spans="19:26" ht="15" customHeight="1" x14ac:dyDescent="0.25">
      <c r="S1632"/>
      <c r="T1632"/>
      <c r="U1632"/>
      <c r="V1632"/>
      <c r="W1632"/>
      <c r="X1632"/>
      <c r="Y1632"/>
      <c r="Z1632"/>
    </row>
    <row r="1633" spans="19:26" ht="15" customHeight="1" x14ac:dyDescent="0.25">
      <c r="S1633"/>
      <c r="T1633"/>
      <c r="U1633"/>
      <c r="V1633"/>
      <c r="W1633"/>
      <c r="X1633"/>
      <c r="Y1633"/>
      <c r="Z1633"/>
    </row>
    <row r="1634" spans="19:26" ht="15" customHeight="1" x14ac:dyDescent="0.25">
      <c r="S1634"/>
      <c r="T1634"/>
      <c r="U1634"/>
      <c r="V1634"/>
      <c r="W1634"/>
      <c r="X1634"/>
      <c r="Y1634"/>
      <c r="Z1634"/>
    </row>
    <row r="1635" spans="19:26" ht="15" customHeight="1" x14ac:dyDescent="0.25">
      <c r="S1635"/>
      <c r="T1635"/>
      <c r="U1635"/>
      <c r="V1635"/>
      <c r="W1635"/>
      <c r="X1635"/>
      <c r="Y1635"/>
      <c r="Z1635"/>
    </row>
    <row r="1636" spans="19:26" ht="15" customHeight="1" x14ac:dyDescent="0.25">
      <c r="S1636"/>
      <c r="T1636"/>
      <c r="U1636"/>
      <c r="V1636"/>
      <c r="W1636"/>
      <c r="X1636"/>
      <c r="Y1636"/>
      <c r="Z1636"/>
    </row>
    <row r="1637" spans="19:26" ht="15" customHeight="1" x14ac:dyDescent="0.25">
      <c r="S1637"/>
      <c r="T1637"/>
      <c r="U1637"/>
      <c r="V1637"/>
      <c r="W1637"/>
      <c r="X1637"/>
      <c r="Y1637"/>
      <c r="Z1637"/>
    </row>
    <row r="1638" spans="19:26" ht="15" customHeight="1" x14ac:dyDescent="0.25">
      <c r="S1638"/>
      <c r="T1638"/>
      <c r="U1638"/>
      <c r="V1638"/>
      <c r="W1638"/>
      <c r="X1638"/>
      <c r="Y1638"/>
      <c r="Z1638"/>
    </row>
    <row r="1639" spans="19:26" ht="15" customHeight="1" x14ac:dyDescent="0.25">
      <c r="S1639"/>
      <c r="T1639"/>
      <c r="U1639"/>
      <c r="V1639"/>
      <c r="W1639"/>
      <c r="X1639"/>
      <c r="Y1639"/>
      <c r="Z1639"/>
    </row>
    <row r="1640" spans="19:26" ht="15" customHeight="1" x14ac:dyDescent="0.25">
      <c r="S1640"/>
      <c r="T1640"/>
      <c r="U1640"/>
      <c r="V1640"/>
      <c r="W1640"/>
      <c r="X1640"/>
      <c r="Y1640"/>
      <c r="Z1640"/>
    </row>
    <row r="1641" spans="19:26" ht="15" customHeight="1" x14ac:dyDescent="0.25">
      <c r="S1641"/>
      <c r="T1641"/>
      <c r="U1641"/>
      <c r="V1641"/>
      <c r="W1641"/>
      <c r="X1641"/>
      <c r="Y1641"/>
      <c r="Z1641"/>
    </row>
    <row r="1642" spans="19:26" ht="15" customHeight="1" x14ac:dyDescent="0.25">
      <c r="S1642"/>
      <c r="T1642"/>
      <c r="U1642"/>
      <c r="V1642"/>
      <c r="W1642"/>
      <c r="X1642"/>
      <c r="Y1642"/>
      <c r="Z1642"/>
    </row>
    <row r="1643" spans="19:26" ht="15" customHeight="1" x14ac:dyDescent="0.25">
      <c r="S1643"/>
      <c r="T1643"/>
      <c r="U1643"/>
      <c r="V1643"/>
      <c r="W1643"/>
      <c r="X1643"/>
      <c r="Y1643"/>
      <c r="Z1643"/>
    </row>
    <row r="1644" spans="19:26" ht="15" customHeight="1" x14ac:dyDescent="0.25">
      <c r="S1644"/>
      <c r="T1644"/>
      <c r="U1644"/>
      <c r="V1644"/>
      <c r="W1644"/>
      <c r="X1644"/>
      <c r="Y1644"/>
      <c r="Z1644"/>
    </row>
    <row r="1645" spans="19:26" ht="15" customHeight="1" x14ac:dyDescent="0.25">
      <c r="S1645"/>
      <c r="T1645"/>
      <c r="U1645"/>
      <c r="V1645"/>
      <c r="W1645"/>
      <c r="X1645"/>
      <c r="Y1645"/>
      <c r="Z1645"/>
    </row>
    <row r="1646" spans="19:26" ht="15" customHeight="1" x14ac:dyDescent="0.25">
      <c r="S1646"/>
      <c r="T1646"/>
      <c r="U1646"/>
      <c r="V1646"/>
      <c r="W1646"/>
      <c r="X1646"/>
      <c r="Y1646"/>
      <c r="Z1646"/>
    </row>
    <row r="1647" spans="19:26" ht="15" customHeight="1" x14ac:dyDescent="0.25">
      <c r="S1647"/>
      <c r="T1647"/>
      <c r="U1647"/>
      <c r="V1647"/>
      <c r="W1647"/>
      <c r="X1647"/>
      <c r="Y1647"/>
      <c r="Z1647"/>
    </row>
    <row r="1648" spans="19:26" ht="15" customHeight="1" x14ac:dyDescent="0.25">
      <c r="S1648"/>
      <c r="T1648"/>
      <c r="U1648"/>
      <c r="V1648"/>
      <c r="W1648"/>
      <c r="X1648"/>
      <c r="Y1648"/>
      <c r="Z1648"/>
    </row>
    <row r="1649" spans="19:26" ht="15" customHeight="1" x14ac:dyDescent="0.25">
      <c r="S1649"/>
      <c r="T1649"/>
      <c r="U1649"/>
      <c r="V1649"/>
      <c r="W1649"/>
      <c r="X1649"/>
      <c r="Y1649"/>
      <c r="Z1649"/>
    </row>
    <row r="1650" spans="19:26" ht="15" customHeight="1" x14ac:dyDescent="0.25">
      <c r="S1650"/>
      <c r="T1650"/>
      <c r="U1650"/>
      <c r="V1650"/>
      <c r="W1650"/>
      <c r="X1650"/>
      <c r="Y1650"/>
      <c r="Z1650"/>
    </row>
    <row r="1651" spans="19:26" ht="15" customHeight="1" x14ac:dyDescent="0.25">
      <c r="S1651"/>
      <c r="T1651"/>
      <c r="U1651"/>
      <c r="V1651"/>
      <c r="W1651"/>
      <c r="X1651"/>
      <c r="Y1651"/>
      <c r="Z1651"/>
    </row>
    <row r="1652" spans="19:26" ht="15" customHeight="1" x14ac:dyDescent="0.25">
      <c r="S1652"/>
      <c r="T1652"/>
      <c r="U1652"/>
      <c r="V1652"/>
      <c r="W1652"/>
      <c r="X1652"/>
      <c r="Y1652"/>
      <c r="Z1652"/>
    </row>
    <row r="1653" spans="19:26" ht="15" customHeight="1" x14ac:dyDescent="0.25">
      <c r="S1653"/>
      <c r="T1653"/>
      <c r="U1653"/>
      <c r="V1653"/>
      <c r="W1653"/>
      <c r="X1653"/>
      <c r="Y1653"/>
      <c r="Z1653"/>
    </row>
    <row r="1654" spans="19:26" ht="15" customHeight="1" x14ac:dyDescent="0.25">
      <c r="S1654"/>
      <c r="T1654"/>
      <c r="U1654"/>
      <c r="V1654"/>
      <c r="W1654"/>
      <c r="X1654"/>
      <c r="Y1654"/>
      <c r="Z1654"/>
    </row>
    <row r="1655" spans="19:26" ht="15" customHeight="1" x14ac:dyDescent="0.25">
      <c r="S1655"/>
      <c r="T1655"/>
      <c r="U1655"/>
      <c r="V1655"/>
      <c r="W1655"/>
      <c r="X1655"/>
      <c r="Y1655"/>
      <c r="Z1655"/>
    </row>
    <row r="1656" spans="19:26" ht="15" customHeight="1" x14ac:dyDescent="0.25">
      <c r="S1656"/>
      <c r="T1656"/>
      <c r="U1656"/>
      <c r="V1656"/>
      <c r="W1656"/>
      <c r="X1656"/>
      <c r="Y1656"/>
      <c r="Z1656"/>
    </row>
    <row r="1657" spans="19:26" ht="15" customHeight="1" x14ac:dyDescent="0.25">
      <c r="S1657"/>
      <c r="T1657"/>
      <c r="U1657"/>
      <c r="V1657"/>
      <c r="W1657"/>
      <c r="X1657"/>
      <c r="Y1657"/>
      <c r="Z1657"/>
    </row>
    <row r="1658" spans="19:26" ht="15" customHeight="1" x14ac:dyDescent="0.25">
      <c r="S1658"/>
      <c r="T1658"/>
      <c r="U1658"/>
      <c r="V1658"/>
      <c r="W1658"/>
      <c r="X1658"/>
      <c r="Y1658"/>
      <c r="Z1658"/>
    </row>
    <row r="1659" spans="19:26" ht="15" customHeight="1" x14ac:dyDescent="0.25">
      <c r="S1659"/>
      <c r="T1659"/>
      <c r="U1659"/>
      <c r="V1659"/>
      <c r="W1659"/>
      <c r="X1659"/>
      <c r="Y1659"/>
      <c r="Z1659"/>
    </row>
    <row r="1660" spans="19:26" ht="15" customHeight="1" x14ac:dyDescent="0.25">
      <c r="S1660"/>
      <c r="T1660"/>
      <c r="U1660"/>
      <c r="V1660"/>
      <c r="W1660"/>
      <c r="X1660"/>
      <c r="Y1660"/>
      <c r="Z1660"/>
    </row>
    <row r="1661" spans="19:26" ht="15" customHeight="1" x14ac:dyDescent="0.25">
      <c r="S1661"/>
      <c r="T1661"/>
      <c r="U1661"/>
      <c r="V1661"/>
      <c r="W1661"/>
      <c r="X1661"/>
      <c r="Y1661"/>
      <c r="Z1661"/>
    </row>
    <row r="1662" spans="19:26" ht="15" customHeight="1" x14ac:dyDescent="0.25">
      <c r="S1662"/>
      <c r="T1662"/>
      <c r="U1662"/>
      <c r="V1662"/>
      <c r="W1662"/>
      <c r="X1662"/>
      <c r="Y1662"/>
      <c r="Z1662"/>
    </row>
    <row r="1663" spans="19:26" ht="15" customHeight="1" x14ac:dyDescent="0.25">
      <c r="S1663"/>
      <c r="T1663"/>
      <c r="U1663"/>
      <c r="V1663"/>
      <c r="W1663"/>
      <c r="X1663"/>
      <c r="Y1663"/>
      <c r="Z1663"/>
    </row>
    <row r="1664" spans="19:26" ht="15" customHeight="1" x14ac:dyDescent="0.25">
      <c r="S1664"/>
      <c r="T1664"/>
      <c r="U1664"/>
      <c r="V1664"/>
      <c r="W1664"/>
      <c r="X1664"/>
      <c r="Y1664"/>
      <c r="Z1664"/>
    </row>
    <row r="1665" spans="19:26" ht="15" customHeight="1" x14ac:dyDescent="0.25">
      <c r="S1665"/>
      <c r="T1665"/>
      <c r="U1665"/>
      <c r="V1665"/>
      <c r="W1665"/>
      <c r="X1665"/>
      <c r="Y1665"/>
      <c r="Z1665"/>
    </row>
    <row r="1666" spans="19:26" ht="15" customHeight="1" x14ac:dyDescent="0.25">
      <c r="S1666"/>
      <c r="T1666"/>
      <c r="U1666"/>
      <c r="V1666"/>
      <c r="W1666"/>
      <c r="X1666"/>
      <c r="Y1666"/>
      <c r="Z1666"/>
    </row>
    <row r="1667" spans="19:26" ht="15" customHeight="1" x14ac:dyDescent="0.25">
      <c r="S1667"/>
      <c r="T1667"/>
      <c r="U1667"/>
      <c r="V1667"/>
      <c r="W1667"/>
      <c r="X1667"/>
      <c r="Y1667"/>
      <c r="Z1667"/>
    </row>
    <row r="1668" spans="19:26" ht="15" customHeight="1" x14ac:dyDescent="0.25">
      <c r="S1668"/>
      <c r="T1668"/>
      <c r="U1668"/>
      <c r="V1668"/>
      <c r="W1668"/>
      <c r="X1668"/>
      <c r="Y1668"/>
      <c r="Z1668"/>
    </row>
    <row r="1669" spans="19:26" ht="15" customHeight="1" x14ac:dyDescent="0.25">
      <c r="S1669"/>
      <c r="T1669"/>
      <c r="U1669"/>
      <c r="V1669"/>
      <c r="W1669"/>
      <c r="X1669"/>
      <c r="Y1669"/>
      <c r="Z1669"/>
    </row>
    <row r="1670" spans="19:26" ht="15" customHeight="1" x14ac:dyDescent="0.25">
      <c r="S1670"/>
      <c r="T1670"/>
      <c r="U1670"/>
      <c r="V1670"/>
      <c r="W1670"/>
      <c r="X1670"/>
      <c r="Y1670"/>
      <c r="Z1670"/>
    </row>
    <row r="1671" spans="19:26" ht="15" customHeight="1" x14ac:dyDescent="0.25">
      <c r="S1671"/>
      <c r="T1671"/>
      <c r="U1671"/>
      <c r="V1671"/>
      <c r="W1671"/>
      <c r="X1671"/>
      <c r="Y1671"/>
      <c r="Z1671"/>
    </row>
    <row r="1672" spans="19:26" ht="15" customHeight="1" x14ac:dyDescent="0.25">
      <c r="S1672"/>
      <c r="T1672"/>
      <c r="U1672"/>
      <c r="V1672"/>
      <c r="W1672"/>
      <c r="X1672"/>
      <c r="Y1672"/>
      <c r="Z1672"/>
    </row>
    <row r="1673" spans="19:26" ht="15" customHeight="1" x14ac:dyDescent="0.25">
      <c r="S1673"/>
      <c r="T1673"/>
      <c r="U1673"/>
      <c r="V1673"/>
      <c r="W1673"/>
      <c r="X1673"/>
      <c r="Y1673"/>
      <c r="Z1673"/>
    </row>
    <row r="1674" spans="19:26" ht="15" customHeight="1" x14ac:dyDescent="0.25">
      <c r="S1674"/>
      <c r="T1674"/>
      <c r="U1674"/>
      <c r="V1674"/>
      <c r="W1674"/>
      <c r="X1674"/>
      <c r="Y1674"/>
      <c r="Z1674"/>
    </row>
    <row r="1675" spans="19:26" ht="15" customHeight="1" x14ac:dyDescent="0.25">
      <c r="S1675"/>
      <c r="T1675"/>
      <c r="U1675"/>
      <c r="V1675"/>
      <c r="W1675"/>
      <c r="X1675"/>
      <c r="Y1675"/>
      <c r="Z1675"/>
    </row>
    <row r="1676" spans="19:26" ht="15" customHeight="1" x14ac:dyDescent="0.25">
      <c r="S1676"/>
      <c r="T1676"/>
      <c r="U1676"/>
      <c r="V1676"/>
      <c r="W1676"/>
      <c r="X1676"/>
      <c r="Y1676"/>
      <c r="Z1676"/>
    </row>
    <row r="1677" spans="19:26" ht="15" customHeight="1" x14ac:dyDescent="0.25">
      <c r="S1677"/>
      <c r="T1677"/>
      <c r="U1677"/>
      <c r="V1677"/>
      <c r="W1677"/>
      <c r="X1677"/>
      <c r="Y1677"/>
      <c r="Z1677"/>
    </row>
    <row r="1678" spans="19:26" ht="15" customHeight="1" x14ac:dyDescent="0.25">
      <c r="S1678"/>
      <c r="T1678"/>
      <c r="U1678"/>
      <c r="V1678"/>
      <c r="W1678"/>
      <c r="X1678"/>
      <c r="Y1678"/>
      <c r="Z1678"/>
    </row>
    <row r="1679" spans="19:26" ht="15" customHeight="1" x14ac:dyDescent="0.25">
      <c r="S1679"/>
      <c r="T1679"/>
      <c r="U1679"/>
      <c r="V1679"/>
      <c r="W1679"/>
      <c r="X1679"/>
      <c r="Y1679"/>
      <c r="Z1679"/>
    </row>
    <row r="1680" spans="19:26" ht="15" customHeight="1" x14ac:dyDescent="0.25">
      <c r="S1680"/>
      <c r="T1680"/>
      <c r="U1680"/>
      <c r="V1680"/>
      <c r="W1680"/>
      <c r="X1680"/>
      <c r="Y1680"/>
      <c r="Z1680"/>
    </row>
    <row r="1681" spans="19:26" ht="15" customHeight="1" x14ac:dyDescent="0.25">
      <c r="S1681"/>
      <c r="T1681"/>
      <c r="U1681"/>
      <c r="V1681"/>
      <c r="W1681"/>
      <c r="X1681"/>
      <c r="Y1681"/>
      <c r="Z1681"/>
    </row>
    <row r="1682" spans="19:26" ht="15" customHeight="1" x14ac:dyDescent="0.25">
      <c r="S1682"/>
      <c r="T1682"/>
      <c r="U1682"/>
      <c r="V1682"/>
      <c r="W1682"/>
      <c r="X1682"/>
      <c r="Y1682"/>
      <c r="Z1682"/>
    </row>
    <row r="1683" spans="19:26" ht="15" customHeight="1" x14ac:dyDescent="0.25">
      <c r="S1683"/>
      <c r="T1683"/>
      <c r="U1683"/>
      <c r="V1683"/>
      <c r="W1683"/>
      <c r="X1683"/>
      <c r="Y1683"/>
      <c r="Z1683"/>
    </row>
    <row r="1684" spans="19:26" ht="15" customHeight="1" x14ac:dyDescent="0.25">
      <c r="S1684"/>
      <c r="T1684"/>
      <c r="U1684"/>
      <c r="V1684"/>
      <c r="W1684"/>
      <c r="X1684"/>
      <c r="Y1684"/>
      <c r="Z1684"/>
    </row>
    <row r="1685" spans="19:26" ht="15" customHeight="1" x14ac:dyDescent="0.25">
      <c r="S1685"/>
      <c r="T1685"/>
      <c r="U1685"/>
      <c r="V1685"/>
      <c r="W1685"/>
      <c r="X1685"/>
      <c r="Y1685"/>
      <c r="Z1685"/>
    </row>
    <row r="1686" spans="19:26" ht="15" customHeight="1" x14ac:dyDescent="0.25">
      <c r="S1686"/>
      <c r="T1686"/>
      <c r="U1686"/>
      <c r="V1686"/>
      <c r="W1686"/>
      <c r="X1686"/>
      <c r="Y1686"/>
      <c r="Z1686"/>
    </row>
    <row r="1687" spans="19:26" ht="15" customHeight="1" x14ac:dyDescent="0.25">
      <c r="S1687"/>
      <c r="T1687"/>
      <c r="U1687"/>
      <c r="V1687"/>
      <c r="W1687"/>
      <c r="X1687"/>
      <c r="Y1687"/>
      <c r="Z1687"/>
    </row>
    <row r="1688" spans="19:26" ht="15" customHeight="1" x14ac:dyDescent="0.25">
      <c r="S1688"/>
      <c r="T1688"/>
      <c r="U1688"/>
      <c r="V1688"/>
      <c r="W1688"/>
      <c r="X1688"/>
      <c r="Y1688"/>
      <c r="Z1688"/>
    </row>
    <row r="1689" spans="19:26" ht="15" customHeight="1" x14ac:dyDescent="0.25">
      <c r="S1689"/>
      <c r="T1689"/>
      <c r="U1689"/>
      <c r="V1689"/>
      <c r="W1689"/>
      <c r="X1689"/>
      <c r="Y1689"/>
      <c r="Z1689"/>
    </row>
    <row r="1690" spans="19:26" ht="15" customHeight="1" x14ac:dyDescent="0.25">
      <c r="S1690"/>
      <c r="T1690"/>
      <c r="U1690"/>
      <c r="V1690"/>
      <c r="W1690"/>
      <c r="X1690"/>
      <c r="Y1690"/>
      <c r="Z1690"/>
    </row>
    <row r="1691" spans="19:26" ht="15" customHeight="1" x14ac:dyDescent="0.25">
      <c r="S1691"/>
      <c r="T1691"/>
      <c r="U1691"/>
      <c r="V1691"/>
      <c r="W1691"/>
      <c r="X1691"/>
      <c r="Y1691"/>
      <c r="Z1691"/>
    </row>
    <row r="1692" spans="19:26" ht="15" customHeight="1" x14ac:dyDescent="0.25">
      <c r="S1692"/>
      <c r="T1692"/>
      <c r="U1692"/>
      <c r="V1692"/>
      <c r="W1692"/>
      <c r="X1692"/>
      <c r="Y1692"/>
      <c r="Z1692"/>
    </row>
    <row r="1693" spans="19:26" ht="15" customHeight="1" x14ac:dyDescent="0.25">
      <c r="S1693"/>
      <c r="T1693"/>
      <c r="U1693"/>
      <c r="V1693"/>
      <c r="W1693"/>
      <c r="X1693"/>
      <c r="Y1693"/>
      <c r="Z1693"/>
    </row>
    <row r="1694" spans="19:26" ht="15" customHeight="1" x14ac:dyDescent="0.25">
      <c r="S1694"/>
      <c r="T1694"/>
      <c r="U1694"/>
      <c r="V1694"/>
      <c r="W1694"/>
      <c r="X1694"/>
      <c r="Y1694"/>
      <c r="Z1694"/>
    </row>
    <row r="1695" spans="19:26" ht="15" customHeight="1" x14ac:dyDescent="0.25">
      <c r="S1695"/>
      <c r="T1695"/>
      <c r="U1695"/>
      <c r="V1695"/>
      <c r="W1695"/>
      <c r="X1695"/>
      <c r="Y1695"/>
      <c r="Z1695"/>
    </row>
    <row r="1696" spans="19:26" ht="15" customHeight="1" x14ac:dyDescent="0.25">
      <c r="S1696"/>
      <c r="T1696"/>
      <c r="U1696"/>
      <c r="V1696"/>
      <c r="W1696"/>
      <c r="X1696"/>
      <c r="Y1696"/>
      <c r="Z1696"/>
    </row>
    <row r="1697" spans="19:26" ht="15" customHeight="1" x14ac:dyDescent="0.25">
      <c r="S1697"/>
      <c r="T1697"/>
      <c r="U1697"/>
      <c r="V1697"/>
      <c r="W1697"/>
      <c r="X1697"/>
      <c r="Y1697"/>
      <c r="Z1697"/>
    </row>
    <row r="1698" spans="19:26" ht="15" customHeight="1" x14ac:dyDescent="0.25">
      <c r="S1698"/>
      <c r="T1698"/>
      <c r="U1698"/>
      <c r="V1698"/>
      <c r="W1698"/>
      <c r="X1698"/>
      <c r="Y1698"/>
      <c r="Z1698"/>
    </row>
    <row r="1699" spans="19:26" ht="15" customHeight="1" x14ac:dyDescent="0.25">
      <c r="S1699"/>
      <c r="T1699"/>
      <c r="U1699"/>
      <c r="V1699"/>
      <c r="W1699"/>
      <c r="X1699"/>
      <c r="Y1699"/>
      <c r="Z1699"/>
    </row>
    <row r="1700" spans="19:26" ht="15" customHeight="1" x14ac:dyDescent="0.25">
      <c r="S1700"/>
      <c r="T1700"/>
      <c r="U1700"/>
      <c r="V1700"/>
      <c r="W1700"/>
      <c r="X1700"/>
      <c r="Y1700"/>
      <c r="Z1700"/>
    </row>
    <row r="1701" spans="19:26" ht="15" customHeight="1" x14ac:dyDescent="0.25">
      <c r="S1701"/>
      <c r="T1701"/>
      <c r="U1701"/>
      <c r="V1701"/>
      <c r="W1701"/>
      <c r="X1701"/>
      <c r="Y1701"/>
      <c r="Z1701"/>
    </row>
    <row r="1702" spans="19:26" ht="15" customHeight="1" x14ac:dyDescent="0.25">
      <c r="S1702"/>
      <c r="T1702"/>
      <c r="U1702"/>
      <c r="V1702"/>
      <c r="W1702"/>
      <c r="X1702"/>
      <c r="Y1702"/>
      <c r="Z1702"/>
    </row>
    <row r="1703" spans="19:26" ht="15" customHeight="1" x14ac:dyDescent="0.25">
      <c r="S1703"/>
      <c r="T1703"/>
      <c r="U1703"/>
      <c r="V1703"/>
      <c r="W1703"/>
      <c r="X1703"/>
      <c r="Y1703"/>
      <c r="Z1703"/>
    </row>
    <row r="1704" spans="19:26" ht="15" customHeight="1" x14ac:dyDescent="0.25">
      <c r="S1704"/>
      <c r="T1704"/>
      <c r="U1704"/>
      <c r="V1704"/>
      <c r="W1704"/>
      <c r="X1704"/>
      <c r="Y1704"/>
      <c r="Z1704"/>
    </row>
    <row r="1705" spans="19:26" ht="15" customHeight="1" x14ac:dyDescent="0.25">
      <c r="S1705"/>
      <c r="T1705"/>
      <c r="U1705"/>
      <c r="V1705"/>
      <c r="W1705"/>
      <c r="X1705"/>
      <c r="Y1705"/>
      <c r="Z1705"/>
    </row>
    <row r="1706" spans="19:26" ht="15" customHeight="1" x14ac:dyDescent="0.25">
      <c r="S1706"/>
      <c r="T1706"/>
      <c r="U1706"/>
      <c r="V1706"/>
      <c r="W1706"/>
      <c r="X1706"/>
      <c r="Y1706"/>
      <c r="Z1706"/>
    </row>
    <row r="1707" spans="19:26" ht="15" customHeight="1" x14ac:dyDescent="0.25">
      <c r="S1707"/>
      <c r="T1707"/>
      <c r="U1707"/>
      <c r="V1707"/>
      <c r="W1707"/>
      <c r="X1707"/>
      <c r="Y1707"/>
      <c r="Z1707"/>
    </row>
    <row r="1708" spans="19:26" ht="15" customHeight="1" x14ac:dyDescent="0.25">
      <c r="S1708"/>
      <c r="T1708"/>
      <c r="U1708"/>
      <c r="V1708"/>
      <c r="W1708"/>
      <c r="X1708"/>
      <c r="Y1708"/>
      <c r="Z1708"/>
    </row>
    <row r="1709" spans="19:26" ht="15" customHeight="1" x14ac:dyDescent="0.25">
      <c r="S1709"/>
      <c r="T1709"/>
      <c r="U1709"/>
      <c r="V1709"/>
      <c r="W1709"/>
      <c r="X1709"/>
      <c r="Y1709"/>
      <c r="Z1709"/>
    </row>
    <row r="1710" spans="19:26" ht="15" customHeight="1" x14ac:dyDescent="0.25">
      <c r="S1710"/>
      <c r="T1710"/>
      <c r="U1710"/>
      <c r="V1710"/>
      <c r="W1710"/>
      <c r="X1710"/>
      <c r="Y1710"/>
      <c r="Z1710"/>
    </row>
    <row r="1711" spans="19:26" ht="15" customHeight="1" x14ac:dyDescent="0.25">
      <c r="S1711"/>
      <c r="T1711"/>
      <c r="U1711"/>
      <c r="V1711"/>
      <c r="W1711"/>
      <c r="X1711"/>
      <c r="Y1711"/>
      <c r="Z1711"/>
    </row>
    <row r="1712" spans="19:26" ht="15" customHeight="1" x14ac:dyDescent="0.25">
      <c r="S1712"/>
      <c r="T1712"/>
      <c r="U1712"/>
      <c r="V1712"/>
      <c r="W1712"/>
      <c r="X1712"/>
      <c r="Y1712"/>
      <c r="Z1712"/>
    </row>
    <row r="1713" spans="19:26" ht="15" customHeight="1" x14ac:dyDescent="0.25">
      <c r="S1713"/>
      <c r="T1713"/>
      <c r="U1713"/>
      <c r="V1713"/>
      <c r="W1713"/>
      <c r="X1713"/>
      <c r="Y1713"/>
      <c r="Z1713"/>
    </row>
    <row r="1714" spans="19:26" ht="15" customHeight="1" x14ac:dyDescent="0.25">
      <c r="S1714"/>
      <c r="T1714"/>
      <c r="U1714"/>
      <c r="V1714"/>
      <c r="W1714"/>
      <c r="X1714"/>
      <c r="Y1714"/>
      <c r="Z1714"/>
    </row>
    <row r="1715" spans="19:26" ht="15" customHeight="1" x14ac:dyDescent="0.25">
      <c r="S1715"/>
      <c r="T1715"/>
      <c r="U1715"/>
      <c r="V1715"/>
      <c r="W1715"/>
      <c r="X1715"/>
      <c r="Y1715"/>
      <c r="Z1715"/>
    </row>
    <row r="1716" spans="19:26" ht="15" customHeight="1" x14ac:dyDescent="0.25">
      <c r="S1716"/>
      <c r="T1716"/>
      <c r="U1716"/>
      <c r="V1716"/>
      <c r="W1716"/>
      <c r="X1716"/>
      <c r="Y1716"/>
      <c r="Z1716"/>
    </row>
    <row r="1717" spans="19:26" ht="15" customHeight="1" x14ac:dyDescent="0.25">
      <c r="S1717"/>
      <c r="T1717"/>
      <c r="U1717"/>
      <c r="V1717"/>
      <c r="W1717"/>
      <c r="X1717"/>
      <c r="Y1717"/>
      <c r="Z1717"/>
    </row>
    <row r="1718" spans="19:26" ht="15" customHeight="1" x14ac:dyDescent="0.25">
      <c r="S1718"/>
      <c r="T1718"/>
      <c r="U1718"/>
      <c r="V1718"/>
      <c r="W1718"/>
      <c r="X1718"/>
      <c r="Y1718"/>
      <c r="Z1718"/>
    </row>
    <row r="1719" spans="19:26" ht="15" customHeight="1" x14ac:dyDescent="0.25">
      <c r="S1719"/>
      <c r="T1719"/>
      <c r="U1719"/>
      <c r="V1719"/>
      <c r="W1719"/>
      <c r="X1719"/>
      <c r="Y1719"/>
      <c r="Z1719"/>
    </row>
    <row r="1720" spans="19:26" ht="15" customHeight="1" x14ac:dyDescent="0.25">
      <c r="S1720"/>
      <c r="T1720"/>
      <c r="U1720"/>
      <c r="V1720"/>
      <c r="W1720"/>
      <c r="X1720"/>
      <c r="Y1720"/>
      <c r="Z1720"/>
    </row>
    <row r="1721" spans="19:26" ht="15" customHeight="1" x14ac:dyDescent="0.25">
      <c r="S1721"/>
      <c r="T1721"/>
      <c r="U1721"/>
      <c r="V1721"/>
      <c r="W1721"/>
      <c r="X1721"/>
      <c r="Y1721"/>
      <c r="Z1721"/>
    </row>
    <row r="1722" spans="19:26" ht="15" customHeight="1" x14ac:dyDescent="0.25">
      <c r="S1722"/>
      <c r="T1722"/>
      <c r="U1722"/>
      <c r="V1722"/>
      <c r="W1722"/>
      <c r="X1722"/>
      <c r="Y1722"/>
      <c r="Z1722"/>
    </row>
    <row r="1723" spans="19:26" ht="15" customHeight="1" x14ac:dyDescent="0.25">
      <c r="S1723"/>
      <c r="T1723"/>
      <c r="U1723"/>
      <c r="V1723"/>
      <c r="W1723"/>
      <c r="X1723"/>
      <c r="Y1723"/>
      <c r="Z1723"/>
    </row>
    <row r="1724" spans="19:26" ht="15" customHeight="1" x14ac:dyDescent="0.25">
      <c r="S1724"/>
      <c r="T1724"/>
      <c r="U1724"/>
      <c r="V1724"/>
      <c r="W1724"/>
      <c r="X1724"/>
      <c r="Y1724"/>
      <c r="Z1724"/>
    </row>
    <row r="1725" spans="19:26" ht="15" customHeight="1" x14ac:dyDescent="0.25">
      <c r="S1725"/>
      <c r="T1725"/>
      <c r="U1725"/>
      <c r="V1725"/>
      <c r="W1725"/>
      <c r="X1725"/>
      <c r="Y1725"/>
      <c r="Z1725"/>
    </row>
    <row r="1726" spans="19:26" ht="15" customHeight="1" x14ac:dyDescent="0.25">
      <c r="S1726"/>
      <c r="T1726"/>
      <c r="U1726"/>
      <c r="V1726"/>
      <c r="W1726"/>
      <c r="X1726"/>
      <c r="Y1726"/>
      <c r="Z1726"/>
    </row>
    <row r="1727" spans="19:26" ht="15" customHeight="1" x14ac:dyDescent="0.25">
      <c r="S1727"/>
      <c r="T1727"/>
      <c r="U1727"/>
      <c r="V1727"/>
      <c r="W1727"/>
      <c r="X1727"/>
      <c r="Y1727"/>
      <c r="Z1727"/>
    </row>
    <row r="1728" spans="19:26" ht="15" customHeight="1" x14ac:dyDescent="0.25">
      <c r="S1728"/>
      <c r="T1728"/>
      <c r="U1728"/>
      <c r="V1728"/>
      <c r="W1728"/>
      <c r="X1728"/>
      <c r="Y1728"/>
      <c r="Z1728"/>
    </row>
    <row r="1729" spans="19:26" ht="15" customHeight="1" x14ac:dyDescent="0.25">
      <c r="S1729"/>
      <c r="T1729"/>
      <c r="U1729"/>
      <c r="V1729"/>
      <c r="W1729"/>
      <c r="X1729"/>
      <c r="Y1729"/>
      <c r="Z1729"/>
    </row>
    <row r="1730" spans="19:26" ht="15" customHeight="1" x14ac:dyDescent="0.25">
      <c r="S1730"/>
      <c r="T1730"/>
      <c r="U1730"/>
      <c r="V1730"/>
      <c r="W1730"/>
      <c r="X1730"/>
      <c r="Y1730"/>
      <c r="Z1730"/>
    </row>
    <row r="1731" spans="19:26" ht="15" customHeight="1" x14ac:dyDescent="0.25">
      <c r="S1731"/>
      <c r="T1731"/>
      <c r="U1731"/>
      <c r="V1731"/>
      <c r="W1731"/>
      <c r="X1731"/>
      <c r="Y1731"/>
      <c r="Z1731"/>
    </row>
    <row r="1732" spans="19:26" ht="15" customHeight="1" x14ac:dyDescent="0.25">
      <c r="S1732"/>
      <c r="T1732"/>
      <c r="U1732"/>
      <c r="V1732"/>
      <c r="W1732"/>
      <c r="X1732"/>
      <c r="Y1732"/>
      <c r="Z1732"/>
    </row>
    <row r="1733" spans="19:26" ht="15" customHeight="1" x14ac:dyDescent="0.25">
      <c r="S1733"/>
      <c r="T1733"/>
      <c r="U1733"/>
      <c r="V1733"/>
      <c r="W1733"/>
      <c r="X1733"/>
      <c r="Y1733"/>
      <c r="Z1733"/>
    </row>
    <row r="1734" spans="19:26" ht="15" customHeight="1" x14ac:dyDescent="0.25">
      <c r="S1734"/>
      <c r="T1734"/>
      <c r="U1734"/>
      <c r="V1734"/>
      <c r="W1734"/>
      <c r="X1734"/>
      <c r="Y1734"/>
      <c r="Z1734"/>
    </row>
    <row r="1735" spans="19:26" ht="15" customHeight="1" x14ac:dyDescent="0.25">
      <c r="S1735"/>
      <c r="T1735"/>
      <c r="U1735"/>
      <c r="V1735"/>
      <c r="W1735"/>
      <c r="X1735"/>
      <c r="Y1735"/>
      <c r="Z1735"/>
    </row>
    <row r="1736" spans="19:26" ht="15" customHeight="1" x14ac:dyDescent="0.25">
      <c r="S1736"/>
      <c r="T1736"/>
      <c r="U1736"/>
      <c r="V1736"/>
      <c r="W1736"/>
      <c r="X1736"/>
      <c r="Y1736"/>
      <c r="Z1736"/>
    </row>
    <row r="1737" spans="19:26" ht="15" customHeight="1" x14ac:dyDescent="0.25">
      <c r="S1737"/>
      <c r="T1737"/>
      <c r="U1737"/>
      <c r="V1737"/>
      <c r="W1737"/>
      <c r="X1737"/>
      <c r="Y1737"/>
      <c r="Z1737"/>
    </row>
    <row r="1738" spans="19:26" ht="15" customHeight="1" x14ac:dyDescent="0.25">
      <c r="S1738"/>
      <c r="T1738"/>
      <c r="U1738"/>
      <c r="V1738"/>
      <c r="W1738"/>
      <c r="X1738"/>
      <c r="Y1738"/>
      <c r="Z1738"/>
    </row>
    <row r="1739" spans="19:26" ht="15" customHeight="1" x14ac:dyDescent="0.25">
      <c r="S1739"/>
      <c r="T1739"/>
      <c r="U1739"/>
      <c r="V1739"/>
      <c r="W1739"/>
      <c r="X1739"/>
      <c r="Y1739"/>
      <c r="Z1739"/>
    </row>
    <row r="1740" spans="19:26" ht="15" customHeight="1" x14ac:dyDescent="0.25">
      <c r="S1740"/>
      <c r="T1740"/>
      <c r="U1740"/>
      <c r="V1740"/>
      <c r="W1740"/>
      <c r="X1740"/>
      <c r="Y1740"/>
      <c r="Z1740"/>
    </row>
    <row r="1741" spans="19:26" ht="15" customHeight="1" x14ac:dyDescent="0.25">
      <c r="S1741"/>
      <c r="T1741"/>
      <c r="U1741"/>
      <c r="V1741"/>
      <c r="W1741"/>
      <c r="X1741"/>
      <c r="Y1741"/>
      <c r="Z1741"/>
    </row>
    <row r="1742" spans="19:26" ht="15" customHeight="1" x14ac:dyDescent="0.25">
      <c r="S1742"/>
      <c r="T1742"/>
      <c r="U1742"/>
      <c r="V1742"/>
      <c r="W1742"/>
      <c r="X1742"/>
      <c r="Y1742"/>
      <c r="Z1742"/>
    </row>
    <row r="1743" spans="19:26" ht="15" customHeight="1" x14ac:dyDescent="0.25">
      <c r="S1743"/>
      <c r="T1743"/>
      <c r="U1743"/>
      <c r="V1743"/>
      <c r="W1743"/>
      <c r="X1743"/>
      <c r="Y1743"/>
      <c r="Z1743"/>
    </row>
    <row r="1744" spans="19:26" ht="15" customHeight="1" x14ac:dyDescent="0.25">
      <c r="S1744"/>
      <c r="T1744"/>
      <c r="U1744"/>
      <c r="V1744"/>
      <c r="W1744"/>
      <c r="X1744"/>
      <c r="Y1744"/>
      <c r="Z1744"/>
    </row>
    <row r="1745" spans="19:26" ht="15" customHeight="1" x14ac:dyDescent="0.25">
      <c r="S1745"/>
      <c r="T1745"/>
      <c r="U1745"/>
      <c r="V1745"/>
      <c r="W1745"/>
      <c r="X1745"/>
      <c r="Y1745"/>
      <c r="Z1745"/>
    </row>
    <row r="1746" spans="19:26" ht="15" customHeight="1" x14ac:dyDescent="0.25">
      <c r="S1746"/>
      <c r="T1746"/>
      <c r="U1746"/>
      <c r="V1746"/>
      <c r="W1746"/>
      <c r="X1746"/>
      <c r="Y1746"/>
      <c r="Z1746"/>
    </row>
    <row r="1747" spans="19:26" ht="15" customHeight="1" x14ac:dyDescent="0.25">
      <c r="S1747"/>
      <c r="T1747"/>
      <c r="U1747"/>
      <c r="V1747"/>
      <c r="W1747"/>
      <c r="X1747"/>
      <c r="Y1747"/>
      <c r="Z1747"/>
    </row>
    <row r="1748" spans="19:26" ht="15" customHeight="1" x14ac:dyDescent="0.25">
      <c r="S1748"/>
      <c r="T1748"/>
      <c r="U1748"/>
      <c r="V1748"/>
      <c r="W1748"/>
      <c r="X1748"/>
      <c r="Y1748"/>
      <c r="Z1748"/>
    </row>
    <row r="1749" spans="19:26" ht="15" customHeight="1" x14ac:dyDescent="0.25">
      <c r="S1749"/>
      <c r="T1749"/>
      <c r="U1749"/>
      <c r="V1749"/>
      <c r="W1749"/>
      <c r="X1749"/>
      <c r="Y1749"/>
      <c r="Z1749"/>
    </row>
    <row r="1750" spans="19:26" ht="15" customHeight="1" x14ac:dyDescent="0.25">
      <c r="S1750"/>
      <c r="T1750"/>
      <c r="U1750"/>
      <c r="V1750"/>
      <c r="W1750"/>
      <c r="X1750"/>
      <c r="Y1750"/>
      <c r="Z1750"/>
    </row>
    <row r="1751" spans="19:26" ht="15" customHeight="1" x14ac:dyDescent="0.25">
      <c r="S1751"/>
      <c r="T1751"/>
      <c r="U1751"/>
      <c r="V1751"/>
      <c r="W1751"/>
      <c r="X1751"/>
      <c r="Y1751"/>
      <c r="Z1751"/>
    </row>
    <row r="1752" spans="19:26" ht="15" customHeight="1" x14ac:dyDescent="0.25">
      <c r="S1752"/>
      <c r="T1752"/>
      <c r="U1752"/>
      <c r="V1752"/>
      <c r="W1752"/>
      <c r="X1752"/>
      <c r="Y1752"/>
      <c r="Z1752"/>
    </row>
    <row r="1753" spans="19:26" ht="15" customHeight="1" x14ac:dyDescent="0.25">
      <c r="S1753"/>
      <c r="T1753"/>
      <c r="U1753"/>
      <c r="V1753"/>
      <c r="W1753"/>
      <c r="X1753"/>
      <c r="Y1753"/>
      <c r="Z1753"/>
    </row>
    <row r="1754" spans="19:26" ht="15" customHeight="1" x14ac:dyDescent="0.25">
      <c r="S1754"/>
      <c r="T1754"/>
      <c r="U1754"/>
      <c r="V1754"/>
      <c r="W1754"/>
      <c r="X1754"/>
      <c r="Y1754"/>
      <c r="Z1754"/>
    </row>
    <row r="1755" spans="19:26" ht="15" customHeight="1" x14ac:dyDescent="0.25">
      <c r="S1755"/>
      <c r="T1755"/>
      <c r="U1755"/>
      <c r="V1755"/>
      <c r="W1755"/>
      <c r="X1755"/>
      <c r="Y1755"/>
      <c r="Z1755"/>
    </row>
    <row r="1756" spans="19:26" ht="15" customHeight="1" x14ac:dyDescent="0.25">
      <c r="S1756"/>
      <c r="T1756"/>
      <c r="U1756"/>
      <c r="V1756"/>
      <c r="W1756"/>
      <c r="X1756"/>
      <c r="Y1756"/>
      <c r="Z1756"/>
    </row>
    <row r="1757" spans="19:26" ht="15" customHeight="1" x14ac:dyDescent="0.25">
      <c r="S1757"/>
      <c r="T1757"/>
      <c r="U1757"/>
      <c r="V1757"/>
      <c r="W1757"/>
      <c r="X1757"/>
      <c r="Y1757"/>
      <c r="Z1757"/>
    </row>
    <row r="1758" spans="19:26" ht="15" customHeight="1" x14ac:dyDescent="0.25">
      <c r="S1758"/>
      <c r="T1758"/>
      <c r="U1758"/>
      <c r="V1758"/>
      <c r="W1758"/>
      <c r="X1758"/>
      <c r="Y1758"/>
      <c r="Z1758"/>
    </row>
    <row r="1759" spans="19:26" ht="15" customHeight="1" x14ac:dyDescent="0.25">
      <c r="S1759"/>
      <c r="T1759"/>
      <c r="U1759"/>
      <c r="V1759"/>
      <c r="W1759"/>
      <c r="X1759"/>
      <c r="Y1759"/>
      <c r="Z1759"/>
    </row>
    <row r="1760" spans="19:26" ht="15" customHeight="1" x14ac:dyDescent="0.25">
      <c r="S1760"/>
      <c r="T1760"/>
      <c r="U1760"/>
      <c r="V1760"/>
      <c r="W1760"/>
      <c r="X1760"/>
      <c r="Y1760"/>
      <c r="Z1760"/>
    </row>
    <row r="1761" spans="19:26" ht="15" customHeight="1" x14ac:dyDescent="0.25">
      <c r="S1761"/>
      <c r="T1761"/>
      <c r="U1761"/>
      <c r="V1761"/>
      <c r="W1761"/>
      <c r="X1761"/>
      <c r="Y1761"/>
      <c r="Z1761"/>
    </row>
    <row r="1762" spans="19:26" ht="15" customHeight="1" x14ac:dyDescent="0.25">
      <c r="S1762"/>
      <c r="T1762"/>
      <c r="U1762"/>
      <c r="V1762"/>
      <c r="W1762"/>
      <c r="X1762"/>
      <c r="Y1762"/>
      <c r="Z1762"/>
    </row>
    <row r="1763" spans="19:26" ht="15" customHeight="1" x14ac:dyDescent="0.25">
      <c r="S1763"/>
      <c r="T1763"/>
      <c r="U1763"/>
      <c r="V1763"/>
      <c r="W1763"/>
      <c r="X1763"/>
      <c r="Y1763"/>
      <c r="Z1763"/>
    </row>
    <row r="1764" spans="19:26" ht="15" customHeight="1" x14ac:dyDescent="0.25">
      <c r="S1764"/>
      <c r="T1764"/>
      <c r="U1764"/>
      <c r="V1764"/>
      <c r="W1764"/>
      <c r="X1764"/>
      <c r="Y1764"/>
      <c r="Z1764"/>
    </row>
    <row r="1765" spans="19:26" ht="15" customHeight="1" x14ac:dyDescent="0.25">
      <c r="S1765"/>
      <c r="T1765"/>
      <c r="U1765"/>
      <c r="V1765"/>
      <c r="W1765"/>
      <c r="X1765"/>
      <c r="Y1765"/>
      <c r="Z1765"/>
    </row>
    <row r="1766" spans="19:26" ht="15" customHeight="1" x14ac:dyDescent="0.25">
      <c r="S1766"/>
      <c r="T1766"/>
      <c r="U1766"/>
      <c r="V1766"/>
      <c r="W1766"/>
      <c r="X1766"/>
      <c r="Y1766"/>
      <c r="Z1766"/>
    </row>
    <row r="1767" spans="19:26" ht="15" customHeight="1" x14ac:dyDescent="0.25">
      <c r="S1767"/>
      <c r="T1767"/>
      <c r="U1767"/>
      <c r="V1767"/>
      <c r="W1767"/>
      <c r="X1767"/>
      <c r="Y1767"/>
      <c r="Z1767"/>
    </row>
    <row r="1768" spans="19:26" ht="15" customHeight="1" x14ac:dyDescent="0.25">
      <c r="S1768"/>
      <c r="T1768"/>
      <c r="U1768"/>
      <c r="V1768"/>
      <c r="W1768"/>
      <c r="X1768"/>
      <c r="Y1768"/>
      <c r="Z1768"/>
    </row>
    <row r="1769" spans="19:26" ht="15" customHeight="1" x14ac:dyDescent="0.25">
      <c r="S1769"/>
      <c r="T1769"/>
      <c r="U1769"/>
      <c r="V1769"/>
      <c r="W1769"/>
      <c r="X1769"/>
      <c r="Y1769"/>
      <c r="Z1769"/>
    </row>
    <row r="1770" spans="19:26" ht="15" customHeight="1" x14ac:dyDescent="0.25">
      <c r="S1770"/>
      <c r="T1770"/>
      <c r="U1770"/>
      <c r="V1770"/>
      <c r="W1770"/>
      <c r="X1770"/>
      <c r="Y1770"/>
      <c r="Z1770"/>
    </row>
    <row r="1771" spans="19:26" ht="15" customHeight="1" x14ac:dyDescent="0.25">
      <c r="S1771"/>
      <c r="T1771"/>
      <c r="U1771"/>
      <c r="V1771"/>
      <c r="W1771"/>
      <c r="X1771"/>
      <c r="Y1771"/>
      <c r="Z1771"/>
    </row>
    <row r="1772" spans="19:26" ht="15" customHeight="1" x14ac:dyDescent="0.25">
      <c r="S1772"/>
      <c r="T1772"/>
      <c r="U1772"/>
      <c r="V1772"/>
      <c r="W1772"/>
      <c r="X1772"/>
      <c r="Y1772"/>
      <c r="Z1772"/>
    </row>
    <row r="1773" spans="19:26" ht="15" customHeight="1" x14ac:dyDescent="0.25">
      <c r="S1773"/>
      <c r="T1773"/>
      <c r="U1773"/>
      <c r="V1773"/>
      <c r="W1773"/>
      <c r="X1773"/>
      <c r="Y1773"/>
      <c r="Z1773"/>
    </row>
    <row r="1774" spans="19:26" ht="15" customHeight="1" x14ac:dyDescent="0.25">
      <c r="S1774"/>
      <c r="T1774"/>
      <c r="U1774"/>
      <c r="V1774"/>
      <c r="W1774"/>
      <c r="X1774"/>
      <c r="Y1774"/>
      <c r="Z1774"/>
    </row>
    <row r="1775" spans="19:26" ht="15" customHeight="1" x14ac:dyDescent="0.25">
      <c r="S1775"/>
      <c r="T1775"/>
      <c r="U1775"/>
      <c r="V1775"/>
      <c r="W1775"/>
      <c r="X1775"/>
      <c r="Y1775"/>
      <c r="Z1775"/>
    </row>
    <row r="1776" spans="19:26" ht="15" customHeight="1" x14ac:dyDescent="0.25">
      <c r="S1776"/>
      <c r="T1776"/>
      <c r="U1776"/>
      <c r="V1776"/>
      <c r="W1776"/>
      <c r="X1776"/>
      <c r="Y1776"/>
      <c r="Z1776"/>
    </row>
    <row r="1777" spans="19:26" ht="15" customHeight="1" x14ac:dyDescent="0.25">
      <c r="S1777"/>
      <c r="T1777"/>
      <c r="U1777"/>
      <c r="V1777"/>
      <c r="W1777"/>
      <c r="X1777"/>
      <c r="Y1777"/>
      <c r="Z1777"/>
    </row>
    <row r="1778" spans="19:26" ht="15" customHeight="1" x14ac:dyDescent="0.25">
      <c r="S1778"/>
      <c r="T1778"/>
      <c r="U1778"/>
      <c r="V1778"/>
      <c r="W1778"/>
      <c r="X1778"/>
      <c r="Y1778"/>
      <c r="Z1778"/>
    </row>
    <row r="1779" spans="19:26" ht="15" customHeight="1" x14ac:dyDescent="0.25">
      <c r="S1779"/>
      <c r="T1779"/>
      <c r="U1779"/>
      <c r="V1779"/>
      <c r="W1779"/>
      <c r="X1779"/>
      <c r="Y1779"/>
      <c r="Z1779"/>
    </row>
    <row r="1780" spans="19:26" ht="15" customHeight="1" x14ac:dyDescent="0.25">
      <c r="S1780"/>
      <c r="T1780"/>
      <c r="U1780"/>
      <c r="V1780"/>
      <c r="W1780"/>
      <c r="X1780"/>
      <c r="Y1780"/>
      <c r="Z1780"/>
    </row>
    <row r="1781" spans="19:26" ht="15" customHeight="1" x14ac:dyDescent="0.25">
      <c r="S1781"/>
      <c r="T1781"/>
      <c r="U1781"/>
      <c r="V1781"/>
      <c r="W1781"/>
      <c r="X1781"/>
      <c r="Y1781"/>
      <c r="Z1781"/>
    </row>
    <row r="1782" spans="19:26" ht="15" customHeight="1" x14ac:dyDescent="0.25">
      <c r="S1782"/>
      <c r="T1782"/>
      <c r="U1782"/>
      <c r="V1782"/>
      <c r="W1782"/>
      <c r="X1782"/>
      <c r="Y1782"/>
      <c r="Z1782"/>
    </row>
    <row r="1783" spans="19:26" ht="15" customHeight="1" x14ac:dyDescent="0.25">
      <c r="S1783"/>
      <c r="T1783"/>
      <c r="U1783"/>
      <c r="V1783"/>
      <c r="W1783"/>
      <c r="X1783"/>
      <c r="Y1783"/>
      <c r="Z1783"/>
    </row>
    <row r="1784" spans="19:26" ht="15" customHeight="1" x14ac:dyDescent="0.25">
      <c r="S1784"/>
      <c r="T1784"/>
      <c r="U1784"/>
      <c r="V1784"/>
      <c r="W1784"/>
      <c r="X1784"/>
      <c r="Y1784"/>
      <c r="Z1784"/>
    </row>
    <row r="1785" spans="19:26" ht="15" customHeight="1" x14ac:dyDescent="0.25">
      <c r="S1785"/>
      <c r="T1785"/>
      <c r="U1785"/>
      <c r="V1785"/>
      <c r="W1785"/>
      <c r="X1785"/>
      <c r="Y1785"/>
      <c r="Z1785"/>
    </row>
    <row r="1786" spans="19:26" ht="15" customHeight="1" x14ac:dyDescent="0.25">
      <c r="S1786"/>
      <c r="T1786"/>
      <c r="U1786"/>
      <c r="V1786"/>
      <c r="W1786"/>
      <c r="X1786"/>
      <c r="Y1786"/>
      <c r="Z1786"/>
    </row>
    <row r="1787" spans="19:26" ht="15" customHeight="1" x14ac:dyDescent="0.25">
      <c r="S1787"/>
      <c r="T1787"/>
      <c r="U1787"/>
      <c r="V1787"/>
      <c r="W1787"/>
      <c r="X1787"/>
      <c r="Y1787"/>
      <c r="Z1787"/>
    </row>
    <row r="1788" spans="19:26" ht="15" customHeight="1" x14ac:dyDescent="0.25">
      <c r="S1788"/>
      <c r="T1788"/>
      <c r="U1788"/>
      <c r="V1788"/>
      <c r="W1788"/>
      <c r="X1788"/>
      <c r="Y1788"/>
      <c r="Z1788"/>
    </row>
    <row r="1789" spans="19:26" ht="15" customHeight="1" x14ac:dyDescent="0.25">
      <c r="S1789"/>
      <c r="T1789"/>
      <c r="U1789"/>
      <c r="V1789"/>
      <c r="W1789"/>
      <c r="X1789"/>
      <c r="Y1789"/>
      <c r="Z1789"/>
    </row>
    <row r="1790" spans="19:26" ht="15" customHeight="1" x14ac:dyDescent="0.25">
      <c r="S1790"/>
      <c r="T1790"/>
      <c r="U1790"/>
      <c r="V1790"/>
      <c r="W1790"/>
      <c r="X1790"/>
      <c r="Y1790"/>
      <c r="Z1790"/>
    </row>
    <row r="1791" spans="19:26" ht="15" customHeight="1" x14ac:dyDescent="0.25">
      <c r="S1791"/>
      <c r="T1791"/>
      <c r="U1791"/>
      <c r="V1791"/>
      <c r="W1791"/>
      <c r="X1791"/>
      <c r="Y1791"/>
      <c r="Z1791"/>
    </row>
    <row r="1792" spans="19:26" ht="15" customHeight="1" x14ac:dyDescent="0.25">
      <c r="S1792"/>
      <c r="T1792"/>
      <c r="U1792"/>
      <c r="V1792"/>
      <c r="W1792"/>
      <c r="X1792"/>
      <c r="Y1792"/>
      <c r="Z1792"/>
    </row>
    <row r="1793" spans="19:26" ht="15" customHeight="1" x14ac:dyDescent="0.25">
      <c r="S1793"/>
      <c r="T1793"/>
      <c r="U1793"/>
      <c r="V1793"/>
      <c r="W1793"/>
      <c r="X1793"/>
      <c r="Y1793"/>
      <c r="Z1793"/>
    </row>
    <row r="1794" spans="19:26" ht="15" customHeight="1" x14ac:dyDescent="0.25">
      <c r="S1794"/>
      <c r="T1794"/>
      <c r="U1794"/>
      <c r="V1794"/>
      <c r="W1794"/>
      <c r="X1794"/>
      <c r="Y1794"/>
      <c r="Z1794"/>
    </row>
    <row r="1795" spans="19:26" ht="15" customHeight="1" x14ac:dyDescent="0.25">
      <c r="S1795"/>
      <c r="T1795"/>
      <c r="U1795"/>
      <c r="V1795"/>
      <c r="W1795"/>
      <c r="X1795"/>
      <c r="Y1795"/>
      <c r="Z1795"/>
    </row>
    <row r="1796" spans="19:26" ht="15" customHeight="1" x14ac:dyDescent="0.25">
      <c r="S1796"/>
      <c r="T1796"/>
      <c r="U1796"/>
      <c r="V1796"/>
      <c r="W1796"/>
      <c r="X1796"/>
      <c r="Y1796"/>
      <c r="Z1796"/>
    </row>
    <row r="1797" spans="19:26" ht="15" customHeight="1" x14ac:dyDescent="0.25">
      <c r="S1797"/>
      <c r="T1797"/>
      <c r="U1797"/>
      <c r="V1797"/>
      <c r="W1797"/>
      <c r="X1797"/>
      <c r="Y1797"/>
      <c r="Z1797"/>
    </row>
    <row r="1798" spans="19:26" ht="15" customHeight="1" x14ac:dyDescent="0.25">
      <c r="S1798"/>
      <c r="T1798"/>
      <c r="U1798"/>
      <c r="V1798"/>
      <c r="W1798"/>
      <c r="X1798"/>
      <c r="Y1798"/>
      <c r="Z1798"/>
    </row>
    <row r="1799" spans="19:26" ht="15" customHeight="1" x14ac:dyDescent="0.25">
      <c r="S1799"/>
      <c r="T1799"/>
      <c r="U1799"/>
      <c r="V1799"/>
      <c r="W1799"/>
      <c r="X1799"/>
      <c r="Y1799"/>
      <c r="Z1799"/>
    </row>
    <row r="1800" spans="19:26" ht="15" customHeight="1" x14ac:dyDescent="0.25">
      <c r="S1800"/>
      <c r="T1800"/>
      <c r="U1800"/>
      <c r="V1800"/>
      <c r="W1800"/>
      <c r="X1800"/>
      <c r="Y1800"/>
      <c r="Z1800"/>
    </row>
  </sheetData>
  <dataValidations count="1">
    <dataValidation type="list" allowBlank="1" showInputMessage="1" showErrorMessage="1" sqref="C5" xr:uid="{6E10EBCC-8834-4026-AEF3-5BFE28FA6738}">
      <formula1>$R$1:$R$4</formula1>
    </dataValidation>
  </dataValidations>
  <pageMargins left="0.511811024" right="0.511811024" top="0.78740157499999996" bottom="0.78740157499999996" header="0.31496062000000002" footer="0.31496062000000002"/>
  <ignoredErrors>
    <ignoredError sqref="B10:B13 C10:C13 F10:F13 I10:I13" numberStoredAsText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F4A37-5F95-4688-9416-E87D79FA182C}">
  <sheetPr codeName="Planilha9"/>
  <dimension ref="A1:Q204"/>
  <sheetViews>
    <sheetView workbookViewId="0">
      <selection activeCell="D3" sqref="D3"/>
    </sheetView>
  </sheetViews>
  <sheetFormatPr defaultRowHeight="15" x14ac:dyDescent="0.25"/>
  <cols>
    <col min="1" max="1" width="32.140625" customWidth="1"/>
    <col min="2" max="2" width="18.7109375" customWidth="1"/>
    <col min="3" max="3" width="14.7109375" customWidth="1"/>
    <col min="4" max="4" width="18.7109375" customWidth="1"/>
    <col min="5" max="5" width="15.7109375" customWidth="1"/>
    <col min="6" max="6" width="12.7109375" customWidth="1"/>
    <col min="7" max="7" width="15.7109375" customWidth="1"/>
    <col min="8" max="8" width="12.7109375" customWidth="1"/>
    <col min="9" max="9" width="9.7109375" customWidth="1"/>
    <col min="10" max="10" width="28.7109375" customWidth="1"/>
    <col min="11" max="11" width="44.7109375" customWidth="1"/>
    <col min="12" max="12" width="3.7109375" customWidth="1"/>
    <col min="13" max="13" width="40.7109375" customWidth="1"/>
    <col min="14" max="14" width="16.7109375" customWidth="1"/>
    <col min="15" max="16" width="30.7109375" customWidth="1"/>
    <col min="17" max="17" width="44.7109375" customWidth="1"/>
  </cols>
  <sheetData>
    <row r="1" spans="1:17" ht="30" customHeight="1" x14ac:dyDescent="0.3">
      <c r="A1" s="50" t="s">
        <v>66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 x14ac:dyDescent="0.25">
      <c r="A2" s="9"/>
    </row>
    <row r="3" spans="1:17" x14ac:dyDescent="0.25">
      <c r="A3" s="8" t="s">
        <v>55</v>
      </c>
    </row>
    <row r="4" spans="1:17" x14ac:dyDescent="0.25">
      <c r="A4" s="10" t="s">
        <v>56</v>
      </c>
      <c r="B4" s="10" t="s">
        <v>45</v>
      </c>
      <c r="C4" s="10" t="s">
        <v>42</v>
      </c>
      <c r="D4" s="10" t="s">
        <v>43</v>
      </c>
      <c r="E4" s="10" t="s">
        <v>46</v>
      </c>
      <c r="F4" s="10" t="s">
        <v>57</v>
      </c>
      <c r="G4" s="10" t="s">
        <v>58</v>
      </c>
      <c r="H4" s="10" t="s">
        <v>59</v>
      </c>
      <c r="I4" s="10" t="s">
        <v>60</v>
      </c>
      <c r="J4" s="10" t="s">
        <v>49</v>
      </c>
      <c r="K4" s="10" t="s">
        <v>61</v>
      </c>
      <c r="M4" s="14" t="s">
        <v>62</v>
      </c>
      <c r="N4" s="14" t="s">
        <v>43</v>
      </c>
      <c r="O4" s="14" t="s">
        <v>63</v>
      </c>
      <c r="P4" s="14" t="s">
        <v>64</v>
      </c>
      <c r="Q4" s="14" t="s">
        <v>65</v>
      </c>
    </row>
    <row r="5" spans="1:17" x14ac:dyDescent="0.25">
      <c r="A5" s="13"/>
      <c r="B5" s="13"/>
      <c r="C5" s="13"/>
      <c r="E5" s="11"/>
      <c r="F5" s="12"/>
      <c r="G5" s="13"/>
    </row>
    <row r="6" spans="1:17" x14ac:dyDescent="0.25">
      <c r="A6" s="13"/>
      <c r="B6" s="13"/>
      <c r="C6" s="13"/>
      <c r="E6" s="11"/>
      <c r="F6" s="12"/>
      <c r="G6" s="13"/>
    </row>
    <row r="7" spans="1:17" x14ac:dyDescent="0.25">
      <c r="A7" s="13"/>
      <c r="B7" s="13"/>
      <c r="C7" s="13"/>
      <c r="E7" s="11"/>
      <c r="F7" s="12"/>
      <c r="G7" s="13"/>
    </row>
    <row r="8" spans="1:17" x14ac:dyDescent="0.25">
      <c r="A8" s="13"/>
      <c r="B8" s="13"/>
      <c r="C8" s="13"/>
      <c r="E8" s="11"/>
      <c r="F8" s="12"/>
      <c r="G8" s="13"/>
    </row>
    <row r="9" spans="1:17" x14ac:dyDescent="0.25">
      <c r="A9" s="13"/>
      <c r="B9" s="13"/>
      <c r="C9" s="13"/>
      <c r="E9" s="11"/>
      <c r="F9" s="12"/>
      <c r="G9" s="13"/>
    </row>
    <row r="10" spans="1:17" x14ac:dyDescent="0.25">
      <c r="A10" s="13"/>
      <c r="B10" s="13"/>
      <c r="C10" s="13"/>
      <c r="E10" s="11"/>
      <c r="F10" s="12"/>
      <c r="G10" s="13"/>
    </row>
    <row r="11" spans="1:17" x14ac:dyDescent="0.25">
      <c r="A11" s="13"/>
      <c r="B11" s="13"/>
      <c r="C11" s="13"/>
      <c r="E11" s="11"/>
      <c r="F11" s="12"/>
      <c r="G11" s="13"/>
    </row>
    <row r="12" spans="1:17" x14ac:dyDescent="0.25">
      <c r="A12" s="13"/>
      <c r="B12" s="13"/>
      <c r="C12" s="13"/>
      <c r="E12" s="11"/>
      <c r="F12" s="12"/>
      <c r="G12" s="13"/>
    </row>
    <row r="13" spans="1:17" x14ac:dyDescent="0.25">
      <c r="A13" s="13"/>
      <c r="B13" s="13"/>
      <c r="C13" s="13"/>
      <c r="E13" s="11"/>
      <c r="F13" s="12"/>
      <c r="G13" s="13"/>
    </row>
    <row r="14" spans="1:17" x14ac:dyDescent="0.25">
      <c r="A14" s="13"/>
      <c r="B14" s="13"/>
      <c r="C14" s="13"/>
      <c r="E14" s="11"/>
      <c r="F14" s="12"/>
      <c r="G14" s="13"/>
    </row>
    <row r="15" spans="1:17" x14ac:dyDescent="0.25">
      <c r="A15" s="13"/>
      <c r="B15" s="13"/>
      <c r="C15" s="13"/>
      <c r="E15" s="11"/>
      <c r="F15" s="12"/>
      <c r="G15" s="13"/>
    </row>
    <row r="16" spans="1:17" x14ac:dyDescent="0.25">
      <c r="A16" s="13"/>
      <c r="B16" s="13"/>
      <c r="C16" s="13"/>
      <c r="E16" s="11"/>
      <c r="F16" s="12"/>
      <c r="G16" s="13"/>
    </row>
    <row r="17" spans="1:7" x14ac:dyDescent="0.25">
      <c r="A17" s="13"/>
      <c r="B17" s="13"/>
      <c r="C17" s="13"/>
      <c r="E17" s="11"/>
      <c r="F17" s="12"/>
      <c r="G17" s="13"/>
    </row>
    <row r="18" spans="1:7" x14ac:dyDescent="0.25">
      <c r="A18" s="13"/>
      <c r="B18" s="13"/>
      <c r="C18" s="13"/>
      <c r="E18" s="11"/>
      <c r="F18" s="12"/>
      <c r="G18" s="13"/>
    </row>
    <row r="19" spans="1:7" x14ac:dyDescent="0.25">
      <c r="A19" s="13"/>
      <c r="B19" s="13"/>
      <c r="C19" s="13"/>
      <c r="E19" s="11"/>
      <c r="F19" s="12"/>
      <c r="G19" s="13"/>
    </row>
    <row r="20" spans="1:7" x14ac:dyDescent="0.25">
      <c r="A20" s="13"/>
      <c r="B20" s="13"/>
      <c r="C20" s="13"/>
      <c r="E20" s="11"/>
      <c r="F20" s="12"/>
      <c r="G20" s="13"/>
    </row>
    <row r="21" spans="1:7" x14ac:dyDescent="0.25">
      <c r="A21" s="13"/>
      <c r="B21" s="13"/>
      <c r="C21" s="13"/>
      <c r="E21" s="11"/>
      <c r="F21" s="12"/>
      <c r="G21" s="13"/>
    </row>
    <row r="22" spans="1:7" x14ac:dyDescent="0.25">
      <c r="A22" s="13"/>
      <c r="B22" s="13"/>
      <c r="C22" s="13"/>
      <c r="E22" s="11"/>
      <c r="F22" s="12"/>
      <c r="G22" s="13"/>
    </row>
    <row r="23" spans="1:7" x14ac:dyDescent="0.25">
      <c r="A23" s="13"/>
      <c r="B23" s="13"/>
      <c r="C23" s="13"/>
      <c r="E23" s="11"/>
      <c r="F23" s="12"/>
      <c r="G23" s="13"/>
    </row>
    <row r="24" spans="1:7" x14ac:dyDescent="0.25">
      <c r="A24" s="13"/>
      <c r="B24" s="13"/>
      <c r="C24" s="13"/>
      <c r="E24" s="11"/>
      <c r="F24" s="12"/>
      <c r="G24" s="13"/>
    </row>
    <row r="25" spans="1:7" x14ac:dyDescent="0.25">
      <c r="A25" s="13"/>
      <c r="B25" s="13"/>
      <c r="C25" s="13"/>
      <c r="E25" s="11"/>
      <c r="F25" s="12"/>
      <c r="G25" s="13"/>
    </row>
    <row r="26" spans="1:7" x14ac:dyDescent="0.25">
      <c r="A26" s="13"/>
      <c r="B26" s="13"/>
      <c r="C26" s="13"/>
      <c r="E26" s="11"/>
      <c r="F26" s="12"/>
      <c r="G26" s="13"/>
    </row>
    <row r="27" spans="1:7" x14ac:dyDescent="0.25">
      <c r="A27" s="13"/>
      <c r="B27" s="13"/>
      <c r="C27" s="13"/>
      <c r="E27" s="11"/>
      <c r="F27" s="12"/>
      <c r="G27" s="13"/>
    </row>
    <row r="28" spans="1:7" x14ac:dyDescent="0.25">
      <c r="A28" s="13"/>
      <c r="B28" s="13"/>
      <c r="C28" s="13"/>
      <c r="E28" s="11"/>
      <c r="F28" s="12"/>
      <c r="G28" s="13"/>
    </row>
    <row r="29" spans="1:7" x14ac:dyDescent="0.25">
      <c r="A29" s="13"/>
      <c r="B29" s="13"/>
      <c r="C29" s="13"/>
      <c r="E29" s="11"/>
      <c r="F29" s="12"/>
      <c r="G29" s="13"/>
    </row>
    <row r="30" spans="1:7" x14ac:dyDescent="0.25">
      <c r="A30" s="13"/>
      <c r="B30" s="13"/>
      <c r="C30" s="13"/>
      <c r="E30" s="11"/>
      <c r="F30" s="12"/>
      <c r="G30" s="13"/>
    </row>
    <row r="31" spans="1:7" x14ac:dyDescent="0.25">
      <c r="A31" s="13"/>
      <c r="B31" s="13"/>
      <c r="C31" s="13"/>
      <c r="E31" s="11"/>
      <c r="F31" s="12"/>
      <c r="G31" s="13"/>
    </row>
    <row r="32" spans="1:7" x14ac:dyDescent="0.25">
      <c r="A32" s="13"/>
      <c r="B32" s="13"/>
      <c r="C32" s="13"/>
      <c r="E32" s="11"/>
      <c r="F32" s="12"/>
      <c r="G32" s="13"/>
    </row>
    <row r="33" spans="1:7" x14ac:dyDescent="0.25">
      <c r="A33" s="13"/>
      <c r="B33" s="13"/>
      <c r="C33" s="13"/>
      <c r="E33" s="11"/>
      <c r="F33" s="12"/>
      <c r="G33" s="13"/>
    </row>
    <row r="34" spans="1:7" x14ac:dyDescent="0.25">
      <c r="A34" s="13"/>
      <c r="B34" s="13"/>
      <c r="C34" s="13"/>
      <c r="E34" s="11"/>
      <c r="F34" s="12"/>
      <c r="G34" s="13"/>
    </row>
    <row r="35" spans="1:7" x14ac:dyDescent="0.25">
      <c r="A35" s="13"/>
      <c r="B35" s="13"/>
      <c r="C35" s="13"/>
      <c r="E35" s="11"/>
      <c r="F35" s="12"/>
      <c r="G35" s="13"/>
    </row>
    <row r="36" spans="1:7" x14ac:dyDescent="0.25">
      <c r="A36" s="13"/>
      <c r="B36" s="13"/>
      <c r="C36" s="13"/>
      <c r="E36" s="11"/>
      <c r="F36" s="12"/>
      <c r="G36" s="13"/>
    </row>
    <row r="37" spans="1:7" x14ac:dyDescent="0.25">
      <c r="A37" s="13"/>
      <c r="B37" s="13"/>
      <c r="C37" s="13"/>
      <c r="E37" s="11"/>
      <c r="F37" s="12"/>
      <c r="G37" s="13"/>
    </row>
    <row r="38" spans="1:7" x14ac:dyDescent="0.25">
      <c r="A38" s="13"/>
      <c r="B38" s="13"/>
      <c r="C38" s="13"/>
      <c r="E38" s="11"/>
      <c r="F38" s="12"/>
      <c r="G38" s="13"/>
    </row>
    <row r="39" spans="1:7" x14ac:dyDescent="0.25">
      <c r="A39" s="13"/>
      <c r="B39" s="13"/>
      <c r="C39" s="13"/>
      <c r="E39" s="11"/>
      <c r="F39" s="12"/>
      <c r="G39" s="13"/>
    </row>
    <row r="40" spans="1:7" x14ac:dyDescent="0.25">
      <c r="A40" s="13"/>
      <c r="B40" s="13"/>
      <c r="C40" s="13"/>
      <c r="E40" s="11"/>
      <c r="F40" s="12"/>
      <c r="G40" s="13"/>
    </row>
    <row r="41" spans="1:7" x14ac:dyDescent="0.25">
      <c r="A41" s="13"/>
      <c r="B41" s="13"/>
      <c r="C41" s="13"/>
      <c r="E41" s="11"/>
      <c r="F41" s="12"/>
      <c r="G41" s="13"/>
    </row>
    <row r="42" spans="1:7" x14ac:dyDescent="0.25">
      <c r="A42" s="13"/>
      <c r="B42" s="13"/>
      <c r="C42" s="13"/>
      <c r="E42" s="11"/>
      <c r="F42" s="12"/>
      <c r="G42" s="13"/>
    </row>
    <row r="43" spans="1:7" x14ac:dyDescent="0.25">
      <c r="A43" s="13"/>
      <c r="B43" s="13"/>
      <c r="C43" s="13"/>
      <c r="E43" s="11"/>
      <c r="F43" s="12"/>
      <c r="G43" s="13"/>
    </row>
    <row r="44" spans="1:7" x14ac:dyDescent="0.25">
      <c r="A44" s="13"/>
      <c r="B44" s="13"/>
      <c r="C44" s="13"/>
      <c r="E44" s="11"/>
      <c r="F44" s="12"/>
      <c r="G44" s="13"/>
    </row>
    <row r="45" spans="1:7" x14ac:dyDescent="0.25">
      <c r="A45" s="13"/>
      <c r="B45" s="13"/>
      <c r="C45" s="13"/>
      <c r="E45" s="11"/>
      <c r="F45" s="12"/>
      <c r="G45" s="13"/>
    </row>
    <row r="46" spans="1:7" x14ac:dyDescent="0.25">
      <c r="A46" s="13"/>
      <c r="B46" s="13"/>
      <c r="C46" s="13"/>
      <c r="E46" s="11"/>
      <c r="F46" s="12"/>
      <c r="G46" s="13"/>
    </row>
    <row r="47" spans="1:7" x14ac:dyDescent="0.25">
      <c r="A47" s="13"/>
      <c r="B47" s="13"/>
      <c r="C47" s="13"/>
      <c r="E47" s="11"/>
      <c r="F47" s="12"/>
      <c r="G47" s="13"/>
    </row>
    <row r="48" spans="1:7" x14ac:dyDescent="0.25">
      <c r="A48" s="13"/>
      <c r="B48" s="13"/>
      <c r="C48" s="13"/>
      <c r="E48" s="11"/>
      <c r="F48" s="12"/>
      <c r="G48" s="13"/>
    </row>
    <row r="49" spans="1:7" x14ac:dyDescent="0.25">
      <c r="A49" s="13"/>
      <c r="B49" s="13"/>
      <c r="C49" s="13"/>
      <c r="E49" s="11"/>
      <c r="F49" s="12"/>
      <c r="G49" s="13"/>
    </row>
    <row r="50" spans="1:7" x14ac:dyDescent="0.25">
      <c r="A50" s="13"/>
      <c r="B50" s="13"/>
      <c r="C50" s="13"/>
      <c r="E50" s="11"/>
      <c r="F50" s="12"/>
      <c r="G50" s="13"/>
    </row>
    <row r="51" spans="1:7" x14ac:dyDescent="0.25">
      <c r="A51" s="13"/>
      <c r="B51" s="13"/>
      <c r="C51" s="13"/>
      <c r="E51" s="11"/>
      <c r="F51" s="12"/>
      <c r="G51" s="13"/>
    </row>
    <row r="52" spans="1:7" x14ac:dyDescent="0.25">
      <c r="A52" s="13"/>
      <c r="B52" s="13"/>
      <c r="C52" s="13"/>
      <c r="E52" s="11"/>
      <c r="F52" s="12"/>
      <c r="G52" s="13"/>
    </row>
    <row r="53" spans="1:7" x14ac:dyDescent="0.25">
      <c r="A53" s="13"/>
      <c r="B53" s="13"/>
      <c r="C53" s="13"/>
      <c r="E53" s="11"/>
      <c r="F53" s="12"/>
      <c r="G53" s="13"/>
    </row>
    <row r="54" spans="1:7" x14ac:dyDescent="0.25">
      <c r="A54" s="13"/>
      <c r="B54" s="13"/>
      <c r="C54" s="13"/>
      <c r="E54" s="11"/>
      <c r="F54" s="12"/>
      <c r="G54" s="13"/>
    </row>
    <row r="55" spans="1:7" x14ac:dyDescent="0.25">
      <c r="A55" s="13"/>
      <c r="B55" s="13"/>
      <c r="C55" s="13"/>
      <c r="E55" s="11"/>
      <c r="F55" s="12"/>
      <c r="G55" s="13"/>
    </row>
    <row r="56" spans="1:7" x14ac:dyDescent="0.25">
      <c r="A56" s="13"/>
      <c r="B56" s="13"/>
      <c r="C56" s="13"/>
      <c r="E56" s="11"/>
      <c r="F56" s="12"/>
      <c r="G56" s="13"/>
    </row>
    <row r="57" spans="1:7" x14ac:dyDescent="0.25">
      <c r="A57" s="13"/>
      <c r="B57" s="13"/>
      <c r="C57" s="13"/>
      <c r="E57" s="11"/>
      <c r="F57" s="12"/>
      <c r="G57" s="13"/>
    </row>
    <row r="58" spans="1:7" x14ac:dyDescent="0.25">
      <c r="A58" s="13"/>
      <c r="B58" s="13"/>
      <c r="C58" s="13"/>
      <c r="E58" s="11"/>
      <c r="F58" s="12"/>
      <c r="G58" s="13"/>
    </row>
    <row r="59" spans="1:7" x14ac:dyDescent="0.25">
      <c r="A59" s="13"/>
      <c r="B59" s="13"/>
      <c r="C59" s="13"/>
      <c r="E59" s="11"/>
      <c r="F59" s="12"/>
      <c r="G59" s="13"/>
    </row>
    <row r="60" spans="1:7" x14ac:dyDescent="0.25">
      <c r="A60" s="13"/>
      <c r="B60" s="13"/>
      <c r="C60" s="13"/>
      <c r="E60" s="11"/>
      <c r="F60" s="12"/>
      <c r="G60" s="13"/>
    </row>
    <row r="61" spans="1:7" x14ac:dyDescent="0.25">
      <c r="A61" s="13"/>
      <c r="B61" s="13"/>
      <c r="C61" s="13"/>
      <c r="E61" s="11"/>
      <c r="F61" s="12"/>
      <c r="G61" s="13"/>
    </row>
    <row r="62" spans="1:7" x14ac:dyDescent="0.25">
      <c r="A62" s="13"/>
      <c r="B62" s="13"/>
      <c r="C62" s="13"/>
      <c r="E62" s="11"/>
      <c r="F62" s="12"/>
      <c r="G62" s="13"/>
    </row>
    <row r="63" spans="1:7" x14ac:dyDescent="0.25">
      <c r="A63" s="13"/>
      <c r="B63" s="13"/>
      <c r="C63" s="13"/>
      <c r="E63" s="11"/>
      <c r="F63" s="12"/>
      <c r="G63" s="13"/>
    </row>
    <row r="64" spans="1:7" x14ac:dyDescent="0.25">
      <c r="A64" s="13"/>
      <c r="B64" s="13"/>
      <c r="C64" s="13"/>
      <c r="E64" s="11"/>
      <c r="F64" s="12"/>
      <c r="G64" s="13"/>
    </row>
    <row r="65" spans="1:7" x14ac:dyDescent="0.25">
      <c r="A65" s="13"/>
      <c r="B65" s="13"/>
      <c r="C65" s="13"/>
      <c r="E65" s="11"/>
      <c r="F65" s="12"/>
      <c r="G65" s="13"/>
    </row>
    <row r="66" spans="1:7" x14ac:dyDescent="0.25">
      <c r="A66" s="13"/>
      <c r="B66" s="13"/>
      <c r="C66" s="13"/>
      <c r="E66" s="11"/>
      <c r="F66" s="12"/>
      <c r="G66" s="13"/>
    </row>
    <row r="67" spans="1:7" x14ac:dyDescent="0.25">
      <c r="A67" s="13"/>
      <c r="B67" s="13"/>
      <c r="C67" s="13"/>
      <c r="E67" s="11"/>
      <c r="F67" s="12"/>
      <c r="G67" s="13"/>
    </row>
    <row r="68" spans="1:7" x14ac:dyDescent="0.25">
      <c r="A68" s="13"/>
      <c r="B68" s="13"/>
      <c r="C68" s="13"/>
      <c r="E68" s="11"/>
      <c r="F68" s="12"/>
      <c r="G68" s="13"/>
    </row>
    <row r="69" spans="1:7" x14ac:dyDescent="0.25">
      <c r="A69" s="13"/>
      <c r="B69" s="13"/>
      <c r="C69" s="13"/>
      <c r="E69" s="11"/>
      <c r="F69" s="12"/>
      <c r="G69" s="13"/>
    </row>
    <row r="70" spans="1:7" x14ac:dyDescent="0.25">
      <c r="A70" s="13"/>
      <c r="B70" s="13"/>
      <c r="C70" s="13"/>
      <c r="E70" s="11"/>
      <c r="F70" s="12"/>
      <c r="G70" s="13"/>
    </row>
    <row r="71" spans="1:7" x14ac:dyDescent="0.25">
      <c r="A71" s="13"/>
      <c r="B71" s="13"/>
      <c r="C71" s="13"/>
      <c r="E71" s="11"/>
      <c r="F71" s="12"/>
      <c r="G71" s="13"/>
    </row>
    <row r="72" spans="1:7" x14ac:dyDescent="0.25">
      <c r="A72" s="13"/>
      <c r="B72" s="13"/>
      <c r="C72" s="13"/>
      <c r="E72" s="11"/>
      <c r="F72" s="12"/>
      <c r="G72" s="13"/>
    </row>
    <row r="73" spans="1:7" x14ac:dyDescent="0.25">
      <c r="A73" s="13"/>
      <c r="B73" s="13"/>
      <c r="C73" s="13"/>
      <c r="E73" s="11"/>
      <c r="F73" s="12"/>
      <c r="G73" s="13"/>
    </row>
    <row r="74" spans="1:7" x14ac:dyDescent="0.25">
      <c r="A74" s="13"/>
      <c r="B74" s="13"/>
      <c r="C74" s="13"/>
      <c r="E74" s="11"/>
      <c r="F74" s="12"/>
      <c r="G74" s="13"/>
    </row>
    <row r="75" spans="1:7" x14ac:dyDescent="0.25">
      <c r="A75" s="13"/>
      <c r="B75" s="13"/>
      <c r="C75" s="13"/>
      <c r="E75" s="11"/>
      <c r="F75" s="12"/>
      <c r="G75" s="13"/>
    </row>
    <row r="76" spans="1:7" x14ac:dyDescent="0.25">
      <c r="A76" s="13"/>
      <c r="B76" s="13"/>
      <c r="C76" s="13"/>
      <c r="E76" s="11"/>
      <c r="F76" s="12"/>
      <c r="G76" s="13"/>
    </row>
    <row r="77" spans="1:7" x14ac:dyDescent="0.25">
      <c r="A77" s="13"/>
      <c r="B77" s="13"/>
      <c r="C77" s="13"/>
      <c r="E77" s="11"/>
      <c r="F77" s="12"/>
      <c r="G77" s="13"/>
    </row>
    <row r="78" spans="1:7" x14ac:dyDescent="0.25">
      <c r="A78" s="13"/>
      <c r="B78" s="13"/>
      <c r="C78" s="13"/>
      <c r="E78" s="11"/>
      <c r="F78" s="12"/>
      <c r="G78" s="13"/>
    </row>
    <row r="79" spans="1:7" x14ac:dyDescent="0.25">
      <c r="A79" s="13"/>
      <c r="B79" s="13"/>
      <c r="C79" s="13"/>
      <c r="E79" s="11"/>
      <c r="F79" s="12"/>
      <c r="G79" s="13"/>
    </row>
    <row r="80" spans="1:7" x14ac:dyDescent="0.25">
      <c r="A80" s="13"/>
      <c r="B80" s="13"/>
      <c r="C80" s="13"/>
      <c r="E80" s="11"/>
      <c r="F80" s="12"/>
      <c r="G80" s="13"/>
    </row>
    <row r="81" spans="1:7" x14ac:dyDescent="0.25">
      <c r="A81" s="13"/>
      <c r="B81" s="13"/>
      <c r="C81" s="13"/>
      <c r="E81" s="11"/>
      <c r="F81" s="12"/>
      <c r="G81" s="13"/>
    </row>
    <row r="82" spans="1:7" x14ac:dyDescent="0.25">
      <c r="A82" s="13"/>
      <c r="B82" s="13"/>
      <c r="C82" s="13"/>
      <c r="E82" s="11"/>
      <c r="F82" s="12"/>
      <c r="G82" s="13"/>
    </row>
    <row r="83" spans="1:7" x14ac:dyDescent="0.25">
      <c r="A83" s="13"/>
      <c r="B83" s="13"/>
      <c r="C83" s="13"/>
      <c r="E83" s="11"/>
      <c r="F83" s="12"/>
      <c r="G83" s="13"/>
    </row>
    <row r="84" spans="1:7" x14ac:dyDescent="0.25">
      <c r="A84" s="13"/>
      <c r="B84" s="13"/>
      <c r="C84" s="13"/>
      <c r="E84" s="11"/>
      <c r="F84" s="12"/>
      <c r="G84" s="13"/>
    </row>
    <row r="85" spans="1:7" x14ac:dyDescent="0.25">
      <c r="A85" s="13"/>
      <c r="B85" s="13"/>
      <c r="C85" s="13"/>
      <c r="E85" s="11"/>
      <c r="F85" s="12"/>
      <c r="G85" s="13"/>
    </row>
    <row r="86" spans="1:7" x14ac:dyDescent="0.25">
      <c r="A86" s="13"/>
      <c r="B86" s="13"/>
      <c r="C86" s="13"/>
      <c r="E86" s="11"/>
      <c r="F86" s="12"/>
      <c r="G86" s="13"/>
    </row>
    <row r="87" spans="1:7" x14ac:dyDescent="0.25">
      <c r="A87" s="13"/>
      <c r="B87" s="13"/>
      <c r="C87" s="13"/>
      <c r="E87" s="11"/>
      <c r="F87" s="12"/>
      <c r="G87" s="13"/>
    </row>
    <row r="88" spans="1:7" x14ac:dyDescent="0.25">
      <c r="A88" s="13"/>
      <c r="B88" s="13"/>
      <c r="C88" s="13"/>
      <c r="E88" s="11"/>
      <c r="F88" s="12"/>
      <c r="G88" s="13"/>
    </row>
    <row r="89" spans="1:7" x14ac:dyDescent="0.25">
      <c r="A89" s="13"/>
      <c r="B89" s="13"/>
      <c r="C89" s="13"/>
      <c r="E89" s="11"/>
      <c r="F89" s="12"/>
      <c r="G89" s="13"/>
    </row>
    <row r="90" spans="1:7" x14ac:dyDescent="0.25">
      <c r="A90" s="13"/>
      <c r="B90" s="13"/>
      <c r="C90" s="13"/>
      <c r="E90" s="11"/>
      <c r="F90" s="12"/>
      <c r="G90" s="13"/>
    </row>
    <row r="91" spans="1:7" x14ac:dyDescent="0.25">
      <c r="A91" s="13"/>
      <c r="B91" s="13"/>
      <c r="C91" s="13"/>
      <c r="E91" s="11"/>
      <c r="F91" s="12"/>
      <c r="G91" s="13"/>
    </row>
    <row r="92" spans="1:7" x14ac:dyDescent="0.25">
      <c r="A92" s="13"/>
      <c r="B92" s="13"/>
      <c r="C92" s="13"/>
      <c r="E92" s="11"/>
      <c r="F92" s="12"/>
      <c r="G92" s="13"/>
    </row>
    <row r="93" spans="1:7" x14ac:dyDescent="0.25">
      <c r="A93" s="13"/>
      <c r="B93" s="13"/>
      <c r="C93" s="13"/>
      <c r="E93" s="11"/>
      <c r="F93" s="12"/>
      <c r="G93" s="13"/>
    </row>
    <row r="94" spans="1:7" x14ac:dyDescent="0.25">
      <c r="A94" s="13"/>
      <c r="B94" s="13"/>
      <c r="C94" s="13"/>
      <c r="E94" s="11"/>
      <c r="F94" s="12"/>
      <c r="G94" s="13"/>
    </row>
    <row r="95" spans="1:7" x14ac:dyDescent="0.25">
      <c r="A95" s="13"/>
      <c r="B95" s="13"/>
      <c r="C95" s="13"/>
      <c r="E95" s="11"/>
      <c r="F95" s="12"/>
      <c r="G95" s="13"/>
    </row>
    <row r="96" spans="1:7" x14ac:dyDescent="0.25">
      <c r="A96" s="13"/>
      <c r="B96" s="13"/>
      <c r="C96" s="13"/>
      <c r="E96" s="11"/>
      <c r="F96" s="12"/>
      <c r="G96" s="13"/>
    </row>
    <row r="97" spans="1:7" x14ac:dyDescent="0.25">
      <c r="A97" s="13"/>
      <c r="B97" s="13"/>
      <c r="C97" s="13"/>
      <c r="E97" s="11"/>
      <c r="F97" s="12"/>
      <c r="G97" s="13"/>
    </row>
    <row r="98" spans="1:7" x14ac:dyDescent="0.25">
      <c r="A98" s="13"/>
      <c r="B98" s="13"/>
      <c r="C98" s="13"/>
      <c r="E98" s="11"/>
      <c r="F98" s="12"/>
      <c r="G98" s="13"/>
    </row>
    <row r="99" spans="1:7" x14ac:dyDescent="0.25">
      <c r="A99" s="13"/>
      <c r="B99" s="13"/>
      <c r="C99" s="13"/>
      <c r="E99" s="11"/>
      <c r="F99" s="12"/>
      <c r="G99" s="13"/>
    </row>
    <row r="100" spans="1:7" x14ac:dyDescent="0.25">
      <c r="A100" s="13"/>
      <c r="B100" s="13"/>
      <c r="C100" s="13"/>
      <c r="E100" s="11"/>
      <c r="F100" s="12"/>
      <c r="G100" s="13"/>
    </row>
    <row r="101" spans="1:7" x14ac:dyDescent="0.25">
      <c r="A101" s="13"/>
      <c r="B101" s="13"/>
      <c r="C101" s="13"/>
      <c r="E101" s="11"/>
      <c r="F101" s="12"/>
      <c r="G101" s="13"/>
    </row>
    <row r="102" spans="1:7" x14ac:dyDescent="0.25">
      <c r="A102" s="13"/>
      <c r="B102" s="13"/>
      <c r="C102" s="13"/>
      <c r="E102" s="11"/>
      <c r="F102" s="12"/>
      <c r="G102" s="13"/>
    </row>
    <row r="103" spans="1:7" x14ac:dyDescent="0.25">
      <c r="A103" s="13"/>
      <c r="B103" s="13"/>
      <c r="C103" s="13"/>
      <c r="E103" s="11"/>
      <c r="F103" s="12"/>
      <c r="G103" s="13"/>
    </row>
    <row r="104" spans="1:7" x14ac:dyDescent="0.25">
      <c r="A104" s="13"/>
      <c r="B104" s="13"/>
      <c r="C104" s="13"/>
      <c r="E104" s="11"/>
      <c r="F104" s="12"/>
      <c r="G104" s="13"/>
    </row>
    <row r="105" spans="1:7" x14ac:dyDescent="0.25">
      <c r="A105" s="13"/>
      <c r="B105" s="13"/>
      <c r="C105" s="13"/>
      <c r="E105" s="11"/>
      <c r="F105" s="12"/>
      <c r="G105" s="13"/>
    </row>
    <row r="106" spans="1:7" x14ac:dyDescent="0.25">
      <c r="A106" s="13"/>
      <c r="B106" s="13"/>
      <c r="C106" s="13"/>
      <c r="E106" s="11"/>
      <c r="F106" s="12"/>
      <c r="G106" s="13"/>
    </row>
    <row r="107" spans="1:7" x14ac:dyDescent="0.25">
      <c r="A107" s="13"/>
      <c r="B107" s="13"/>
      <c r="C107" s="13"/>
      <c r="E107" s="11"/>
      <c r="F107" s="12"/>
      <c r="G107" s="13"/>
    </row>
    <row r="108" spans="1:7" x14ac:dyDescent="0.25">
      <c r="A108" s="13"/>
      <c r="B108" s="13"/>
      <c r="C108" s="13"/>
      <c r="E108" s="11"/>
      <c r="F108" s="12"/>
      <c r="G108" s="13"/>
    </row>
    <row r="109" spans="1:7" x14ac:dyDescent="0.25">
      <c r="A109" s="13"/>
      <c r="B109" s="13"/>
      <c r="C109" s="13"/>
      <c r="E109" s="11"/>
      <c r="F109" s="12"/>
      <c r="G109" s="13"/>
    </row>
    <row r="110" spans="1:7" x14ac:dyDescent="0.25">
      <c r="A110" s="13"/>
      <c r="B110" s="13"/>
      <c r="C110" s="13"/>
      <c r="E110" s="11"/>
      <c r="F110" s="12"/>
      <c r="G110" s="13"/>
    </row>
    <row r="111" spans="1:7" x14ac:dyDescent="0.25">
      <c r="A111" s="13"/>
      <c r="B111" s="13"/>
      <c r="C111" s="13"/>
      <c r="E111" s="11"/>
      <c r="F111" s="12"/>
      <c r="G111" s="13"/>
    </row>
    <row r="112" spans="1:7" x14ac:dyDescent="0.25">
      <c r="A112" s="13"/>
      <c r="B112" s="13"/>
      <c r="C112" s="13"/>
      <c r="E112" s="11"/>
      <c r="F112" s="12"/>
      <c r="G112" s="13"/>
    </row>
    <row r="113" spans="1:7" x14ac:dyDescent="0.25">
      <c r="A113" s="13"/>
      <c r="B113" s="13"/>
      <c r="C113" s="13"/>
      <c r="E113" s="11"/>
      <c r="F113" s="12"/>
      <c r="G113" s="13"/>
    </row>
    <row r="114" spans="1:7" x14ac:dyDescent="0.25">
      <c r="A114" s="13"/>
      <c r="B114" s="13"/>
      <c r="C114" s="13"/>
      <c r="E114" s="11"/>
      <c r="F114" s="12"/>
      <c r="G114" s="13"/>
    </row>
    <row r="115" spans="1:7" x14ac:dyDescent="0.25">
      <c r="A115" s="13"/>
      <c r="B115" s="13"/>
      <c r="C115" s="13"/>
      <c r="E115" s="11"/>
      <c r="F115" s="12"/>
      <c r="G115" s="13"/>
    </row>
    <row r="116" spans="1:7" x14ac:dyDescent="0.25">
      <c r="A116" s="13"/>
      <c r="B116" s="13"/>
      <c r="C116" s="13"/>
      <c r="E116" s="11"/>
      <c r="F116" s="12"/>
      <c r="G116" s="13"/>
    </row>
    <row r="117" spans="1:7" x14ac:dyDescent="0.25">
      <c r="A117" s="13"/>
      <c r="B117" s="13"/>
      <c r="C117" s="13"/>
      <c r="E117" s="11"/>
      <c r="F117" s="12"/>
      <c r="G117" s="13"/>
    </row>
    <row r="118" spans="1:7" x14ac:dyDescent="0.25">
      <c r="A118" s="13"/>
      <c r="B118" s="13"/>
      <c r="C118" s="13"/>
      <c r="E118" s="11"/>
      <c r="F118" s="12"/>
      <c r="G118" s="13"/>
    </row>
    <row r="119" spans="1:7" x14ac:dyDescent="0.25">
      <c r="A119" s="13"/>
      <c r="B119" s="13"/>
      <c r="C119" s="13"/>
      <c r="E119" s="11"/>
      <c r="F119" s="12"/>
      <c r="G119" s="13"/>
    </row>
    <row r="120" spans="1:7" x14ac:dyDescent="0.25">
      <c r="A120" s="13"/>
      <c r="B120" s="13"/>
      <c r="C120" s="13"/>
      <c r="E120" s="11"/>
      <c r="F120" s="12"/>
      <c r="G120" s="13"/>
    </row>
    <row r="121" spans="1:7" x14ac:dyDescent="0.25">
      <c r="A121" s="13"/>
      <c r="B121" s="13"/>
      <c r="C121" s="13"/>
      <c r="E121" s="11"/>
      <c r="F121" s="12"/>
      <c r="G121" s="13"/>
    </row>
    <row r="122" spans="1:7" x14ac:dyDescent="0.25">
      <c r="A122" s="13"/>
      <c r="B122" s="13"/>
      <c r="C122" s="13"/>
      <c r="E122" s="11"/>
      <c r="F122" s="12"/>
      <c r="G122" s="13"/>
    </row>
    <row r="123" spans="1:7" x14ac:dyDescent="0.25">
      <c r="A123" s="13"/>
      <c r="B123" s="13"/>
      <c r="C123" s="13"/>
      <c r="E123" s="11"/>
      <c r="F123" s="12"/>
      <c r="G123" s="13"/>
    </row>
    <row r="124" spans="1:7" x14ac:dyDescent="0.25">
      <c r="A124" s="13"/>
      <c r="B124" s="13"/>
      <c r="C124" s="13"/>
      <c r="E124" s="11"/>
      <c r="F124" s="12"/>
      <c r="G124" s="13"/>
    </row>
    <row r="125" spans="1:7" x14ac:dyDescent="0.25">
      <c r="A125" s="13"/>
      <c r="B125" s="13"/>
      <c r="C125" s="13"/>
      <c r="E125" s="11"/>
      <c r="F125" s="12"/>
      <c r="G125" s="13"/>
    </row>
    <row r="126" spans="1:7" x14ac:dyDescent="0.25">
      <c r="A126" s="13"/>
      <c r="B126" s="13"/>
      <c r="C126" s="13"/>
      <c r="E126" s="11"/>
      <c r="F126" s="12"/>
      <c r="G126" s="13"/>
    </row>
    <row r="127" spans="1:7" x14ac:dyDescent="0.25">
      <c r="A127" s="13"/>
      <c r="B127" s="13"/>
      <c r="C127" s="13"/>
      <c r="E127" s="11"/>
      <c r="F127" s="12"/>
      <c r="G127" s="13"/>
    </row>
    <row r="128" spans="1:7" x14ac:dyDescent="0.25">
      <c r="A128" s="13"/>
      <c r="B128" s="13"/>
      <c r="C128" s="13"/>
      <c r="E128" s="11"/>
      <c r="F128" s="12"/>
      <c r="G128" s="13"/>
    </row>
    <row r="129" spans="1:7" x14ac:dyDescent="0.25">
      <c r="A129" s="13"/>
      <c r="B129" s="13"/>
      <c r="C129" s="13"/>
      <c r="E129" s="11"/>
      <c r="F129" s="12"/>
      <c r="G129" s="13"/>
    </row>
    <row r="130" spans="1:7" x14ac:dyDescent="0.25">
      <c r="A130" s="13"/>
      <c r="B130" s="13"/>
      <c r="C130" s="13"/>
      <c r="E130" s="11"/>
      <c r="F130" s="12"/>
      <c r="G130" s="13"/>
    </row>
    <row r="131" spans="1:7" x14ac:dyDescent="0.25">
      <c r="A131" s="13"/>
      <c r="B131" s="13"/>
      <c r="C131" s="13"/>
      <c r="E131" s="11"/>
      <c r="F131" s="12"/>
      <c r="G131" s="13"/>
    </row>
    <row r="132" spans="1:7" x14ac:dyDescent="0.25">
      <c r="A132" s="13"/>
      <c r="B132" s="13"/>
      <c r="C132" s="13"/>
      <c r="E132" s="11"/>
      <c r="F132" s="12"/>
      <c r="G132" s="13"/>
    </row>
    <row r="133" spans="1:7" x14ac:dyDescent="0.25">
      <c r="A133" s="13"/>
      <c r="B133" s="13"/>
      <c r="C133" s="13"/>
      <c r="E133" s="11"/>
      <c r="F133" s="12"/>
      <c r="G133" s="13"/>
    </row>
    <row r="134" spans="1:7" x14ac:dyDescent="0.25">
      <c r="A134" s="13"/>
      <c r="B134" s="13"/>
      <c r="C134" s="13"/>
      <c r="E134" s="11"/>
      <c r="F134" s="12"/>
      <c r="G134" s="13"/>
    </row>
    <row r="135" spans="1:7" x14ac:dyDescent="0.25">
      <c r="A135" s="13"/>
      <c r="B135" s="13"/>
      <c r="C135" s="13"/>
      <c r="E135" s="11"/>
      <c r="F135" s="12"/>
      <c r="G135" s="13"/>
    </row>
    <row r="136" spans="1:7" x14ac:dyDescent="0.25">
      <c r="A136" s="13"/>
      <c r="B136" s="13"/>
      <c r="C136" s="13"/>
      <c r="E136" s="11"/>
      <c r="F136" s="12"/>
      <c r="G136" s="13"/>
    </row>
    <row r="137" spans="1:7" x14ac:dyDescent="0.25">
      <c r="A137" s="13"/>
      <c r="B137" s="13"/>
      <c r="C137" s="13"/>
      <c r="E137" s="11"/>
      <c r="F137" s="12"/>
      <c r="G137" s="13"/>
    </row>
    <row r="138" spans="1:7" x14ac:dyDescent="0.25">
      <c r="A138" s="13"/>
      <c r="B138" s="13"/>
      <c r="C138" s="13"/>
      <c r="E138" s="11"/>
      <c r="F138" s="12"/>
      <c r="G138" s="13"/>
    </row>
    <row r="139" spans="1:7" x14ac:dyDescent="0.25">
      <c r="A139" s="13"/>
      <c r="B139" s="13"/>
      <c r="C139" s="13"/>
      <c r="E139" s="11"/>
      <c r="F139" s="12"/>
      <c r="G139" s="13"/>
    </row>
    <row r="140" spans="1:7" x14ac:dyDescent="0.25">
      <c r="A140" s="13"/>
      <c r="B140" s="13"/>
      <c r="C140" s="13"/>
      <c r="E140" s="11"/>
      <c r="F140" s="12"/>
      <c r="G140" s="13"/>
    </row>
    <row r="141" spans="1:7" x14ac:dyDescent="0.25">
      <c r="A141" s="13"/>
      <c r="B141" s="13"/>
      <c r="C141" s="13"/>
      <c r="E141" s="11"/>
      <c r="F141" s="12"/>
      <c r="G141" s="13"/>
    </row>
    <row r="142" spans="1:7" x14ac:dyDescent="0.25">
      <c r="A142" s="13"/>
      <c r="B142" s="13"/>
      <c r="C142" s="13"/>
      <c r="E142" s="11"/>
      <c r="F142" s="12"/>
      <c r="G142" s="13"/>
    </row>
    <row r="143" spans="1:7" x14ac:dyDescent="0.25">
      <c r="A143" s="13"/>
      <c r="B143" s="13"/>
      <c r="C143" s="13"/>
      <c r="E143" s="11"/>
      <c r="F143" s="12"/>
      <c r="G143" s="13"/>
    </row>
    <row r="144" spans="1:7" x14ac:dyDescent="0.25">
      <c r="A144" s="13"/>
      <c r="B144" s="13"/>
      <c r="C144" s="13"/>
      <c r="E144" s="11"/>
      <c r="F144" s="12"/>
      <c r="G144" s="13"/>
    </row>
    <row r="145" spans="1:7" x14ac:dyDescent="0.25">
      <c r="A145" s="13"/>
      <c r="B145" s="13"/>
      <c r="C145" s="13"/>
      <c r="E145" s="11"/>
      <c r="F145" s="12"/>
      <c r="G145" s="13"/>
    </row>
    <row r="146" spans="1:7" x14ac:dyDescent="0.25">
      <c r="A146" s="13"/>
      <c r="B146" s="13"/>
      <c r="C146" s="13"/>
      <c r="E146" s="11"/>
      <c r="F146" s="12"/>
      <c r="G146" s="13"/>
    </row>
    <row r="147" spans="1:7" x14ac:dyDescent="0.25">
      <c r="A147" s="13"/>
      <c r="B147" s="13"/>
      <c r="C147" s="13"/>
      <c r="E147" s="11"/>
      <c r="F147" s="12"/>
      <c r="G147" s="13"/>
    </row>
    <row r="148" spans="1:7" x14ac:dyDescent="0.25">
      <c r="A148" s="13"/>
      <c r="B148" s="13"/>
      <c r="C148" s="13"/>
      <c r="E148" s="11"/>
      <c r="F148" s="12"/>
      <c r="G148" s="13"/>
    </row>
    <row r="149" spans="1:7" x14ac:dyDescent="0.25">
      <c r="A149" s="13"/>
      <c r="B149" s="13"/>
      <c r="C149" s="13"/>
      <c r="E149" s="11"/>
      <c r="F149" s="12"/>
      <c r="G149" s="13"/>
    </row>
    <row r="150" spans="1:7" x14ac:dyDescent="0.25">
      <c r="A150" s="13"/>
      <c r="B150" s="13"/>
      <c r="C150" s="13"/>
      <c r="E150" s="11"/>
      <c r="F150" s="12"/>
      <c r="G150" s="13"/>
    </row>
    <row r="151" spans="1:7" x14ac:dyDescent="0.25">
      <c r="A151" s="13"/>
      <c r="B151" s="13"/>
      <c r="C151" s="13"/>
      <c r="E151" s="11"/>
      <c r="F151" s="12"/>
      <c r="G151" s="13"/>
    </row>
    <row r="152" spans="1:7" x14ac:dyDescent="0.25">
      <c r="A152" s="13"/>
      <c r="B152" s="13"/>
      <c r="C152" s="13"/>
      <c r="E152" s="11"/>
      <c r="F152" s="12"/>
      <c r="G152" s="13"/>
    </row>
    <row r="153" spans="1:7" x14ac:dyDescent="0.25">
      <c r="A153" s="13"/>
      <c r="B153" s="13"/>
      <c r="C153" s="13"/>
      <c r="E153" s="11"/>
      <c r="F153" s="12"/>
      <c r="G153" s="13"/>
    </row>
    <row r="154" spans="1:7" x14ac:dyDescent="0.25">
      <c r="A154" s="13"/>
      <c r="B154" s="13"/>
      <c r="C154" s="13"/>
      <c r="E154" s="11"/>
      <c r="F154" s="12"/>
      <c r="G154" s="13"/>
    </row>
    <row r="155" spans="1:7" x14ac:dyDescent="0.25">
      <c r="A155" s="13"/>
      <c r="B155" s="13"/>
      <c r="C155" s="13"/>
      <c r="E155" s="11"/>
      <c r="F155" s="12"/>
      <c r="G155" s="13"/>
    </row>
    <row r="156" spans="1:7" x14ac:dyDescent="0.25">
      <c r="A156" s="13"/>
      <c r="B156" s="13"/>
      <c r="C156" s="13"/>
      <c r="E156" s="11"/>
      <c r="F156" s="12"/>
      <c r="G156" s="13"/>
    </row>
    <row r="157" spans="1:7" x14ac:dyDescent="0.25">
      <c r="A157" s="13"/>
      <c r="B157" s="13"/>
      <c r="C157" s="13"/>
      <c r="E157" s="11"/>
      <c r="F157" s="12"/>
      <c r="G157" s="13"/>
    </row>
    <row r="158" spans="1:7" x14ac:dyDescent="0.25">
      <c r="A158" s="13"/>
      <c r="B158" s="13"/>
      <c r="C158" s="13"/>
      <c r="E158" s="11"/>
      <c r="F158" s="12"/>
      <c r="G158" s="13"/>
    </row>
    <row r="159" spans="1:7" x14ac:dyDescent="0.25">
      <c r="A159" s="13"/>
      <c r="B159" s="13"/>
      <c r="C159" s="13"/>
      <c r="E159" s="11"/>
      <c r="F159" s="12"/>
      <c r="G159" s="13"/>
    </row>
    <row r="160" spans="1:7" x14ac:dyDescent="0.25">
      <c r="A160" s="13"/>
      <c r="B160" s="13"/>
      <c r="C160" s="13"/>
      <c r="E160" s="11"/>
      <c r="F160" s="12"/>
      <c r="G160" s="13"/>
    </row>
    <row r="161" spans="1:7" x14ac:dyDescent="0.25">
      <c r="A161" s="13"/>
      <c r="B161" s="13"/>
      <c r="C161" s="13"/>
      <c r="E161" s="11"/>
      <c r="F161" s="12"/>
      <c r="G161" s="13"/>
    </row>
    <row r="162" spans="1:7" x14ac:dyDescent="0.25">
      <c r="A162" s="13"/>
      <c r="B162" s="13"/>
      <c r="C162" s="13"/>
      <c r="E162" s="11"/>
      <c r="F162" s="12"/>
      <c r="G162" s="13"/>
    </row>
    <row r="163" spans="1:7" x14ac:dyDescent="0.25">
      <c r="A163" s="13"/>
      <c r="B163" s="13"/>
      <c r="C163" s="13"/>
      <c r="E163" s="11"/>
      <c r="F163" s="12"/>
      <c r="G163" s="13"/>
    </row>
    <row r="164" spans="1:7" x14ac:dyDescent="0.25">
      <c r="A164" s="13"/>
      <c r="B164" s="13"/>
      <c r="C164" s="13"/>
      <c r="E164" s="11"/>
      <c r="F164" s="12"/>
      <c r="G164" s="13"/>
    </row>
    <row r="165" spans="1:7" x14ac:dyDescent="0.25">
      <c r="A165" s="13"/>
      <c r="B165" s="13"/>
      <c r="C165" s="13"/>
      <c r="E165" s="11"/>
      <c r="F165" s="12"/>
      <c r="G165" s="13"/>
    </row>
    <row r="166" spans="1:7" x14ac:dyDescent="0.25">
      <c r="A166" s="13"/>
      <c r="B166" s="13"/>
      <c r="C166" s="13"/>
      <c r="E166" s="11"/>
      <c r="F166" s="12"/>
      <c r="G166" s="13"/>
    </row>
    <row r="167" spans="1:7" x14ac:dyDescent="0.25">
      <c r="A167" s="13"/>
      <c r="B167" s="13"/>
      <c r="C167" s="13"/>
      <c r="E167" s="11"/>
      <c r="F167" s="12"/>
      <c r="G167" s="13"/>
    </row>
    <row r="168" spans="1:7" x14ac:dyDescent="0.25">
      <c r="A168" s="13"/>
      <c r="B168" s="13"/>
      <c r="C168" s="13"/>
      <c r="E168" s="11"/>
      <c r="F168" s="12"/>
      <c r="G168" s="13"/>
    </row>
    <row r="169" spans="1:7" x14ac:dyDescent="0.25">
      <c r="A169" s="13"/>
      <c r="B169" s="13"/>
      <c r="C169" s="13"/>
      <c r="E169" s="11"/>
      <c r="F169" s="12"/>
      <c r="G169" s="13"/>
    </row>
    <row r="170" spans="1:7" x14ac:dyDescent="0.25">
      <c r="A170" s="13"/>
      <c r="B170" s="13"/>
      <c r="C170" s="13"/>
      <c r="E170" s="11"/>
      <c r="F170" s="12"/>
      <c r="G170" s="13"/>
    </row>
    <row r="171" spans="1:7" x14ac:dyDescent="0.25">
      <c r="A171" s="13"/>
      <c r="B171" s="13"/>
      <c r="C171" s="13"/>
      <c r="E171" s="11"/>
      <c r="F171" s="12"/>
      <c r="G171" s="13"/>
    </row>
    <row r="172" spans="1:7" x14ac:dyDescent="0.25">
      <c r="A172" s="13"/>
      <c r="B172" s="13"/>
      <c r="C172" s="13"/>
      <c r="E172" s="11"/>
      <c r="F172" s="12"/>
      <c r="G172" s="13"/>
    </row>
    <row r="173" spans="1:7" x14ac:dyDescent="0.25">
      <c r="A173" s="13"/>
      <c r="B173" s="13"/>
      <c r="C173" s="13"/>
      <c r="E173" s="11"/>
      <c r="F173" s="12"/>
      <c r="G173" s="13"/>
    </row>
    <row r="174" spans="1:7" x14ac:dyDescent="0.25">
      <c r="A174" s="13"/>
      <c r="B174" s="13"/>
      <c r="C174" s="13"/>
      <c r="E174" s="11"/>
      <c r="F174" s="12"/>
      <c r="G174" s="13"/>
    </row>
    <row r="175" spans="1:7" x14ac:dyDescent="0.25">
      <c r="A175" s="13"/>
      <c r="B175" s="13"/>
      <c r="C175" s="13"/>
      <c r="E175" s="11"/>
      <c r="F175" s="12"/>
      <c r="G175" s="13"/>
    </row>
    <row r="176" spans="1:7" x14ac:dyDescent="0.25">
      <c r="A176" s="13"/>
      <c r="B176" s="13"/>
      <c r="C176" s="13"/>
      <c r="E176" s="11"/>
      <c r="F176" s="12"/>
      <c r="G176" s="13"/>
    </row>
    <row r="177" spans="1:7" x14ac:dyDescent="0.25">
      <c r="A177" s="13"/>
      <c r="B177" s="13"/>
      <c r="C177" s="13"/>
      <c r="E177" s="11"/>
      <c r="F177" s="12"/>
      <c r="G177" s="13"/>
    </row>
    <row r="178" spans="1:7" x14ac:dyDescent="0.25">
      <c r="A178" s="13"/>
      <c r="B178" s="13"/>
      <c r="C178" s="13"/>
      <c r="E178" s="11"/>
      <c r="F178" s="12"/>
      <c r="G178" s="13"/>
    </row>
    <row r="179" spans="1:7" x14ac:dyDescent="0.25">
      <c r="A179" s="13"/>
      <c r="B179" s="13"/>
      <c r="C179" s="13"/>
      <c r="E179" s="11"/>
      <c r="F179" s="12"/>
      <c r="G179" s="13"/>
    </row>
    <row r="180" spans="1:7" x14ac:dyDescent="0.25">
      <c r="A180" s="13"/>
      <c r="B180" s="13"/>
      <c r="C180" s="13"/>
      <c r="E180" s="11"/>
      <c r="F180" s="12"/>
      <c r="G180" s="13"/>
    </row>
    <row r="181" spans="1:7" x14ac:dyDescent="0.25">
      <c r="A181" s="13"/>
      <c r="B181" s="13"/>
      <c r="C181" s="13"/>
      <c r="E181" s="11"/>
      <c r="F181" s="12"/>
      <c r="G181" s="13"/>
    </row>
    <row r="182" spans="1:7" x14ac:dyDescent="0.25">
      <c r="A182" s="13"/>
      <c r="B182" s="13"/>
      <c r="C182" s="13"/>
      <c r="E182" s="11"/>
      <c r="F182" s="12"/>
      <c r="G182" s="13"/>
    </row>
    <row r="183" spans="1:7" x14ac:dyDescent="0.25">
      <c r="A183" s="13"/>
      <c r="B183" s="13"/>
      <c r="C183" s="13"/>
      <c r="E183" s="11"/>
      <c r="F183" s="12"/>
      <c r="G183" s="13"/>
    </row>
    <row r="184" spans="1:7" x14ac:dyDescent="0.25">
      <c r="A184" s="13"/>
      <c r="B184" s="13"/>
      <c r="C184" s="13"/>
      <c r="E184" s="11"/>
      <c r="F184" s="12"/>
      <c r="G184" s="13"/>
    </row>
    <row r="185" spans="1:7" x14ac:dyDescent="0.25">
      <c r="A185" s="13"/>
      <c r="B185" s="13"/>
      <c r="C185" s="13"/>
      <c r="E185" s="11"/>
      <c r="F185" s="12"/>
      <c r="G185" s="13"/>
    </row>
    <row r="186" spans="1:7" x14ac:dyDescent="0.25">
      <c r="A186" s="13"/>
      <c r="B186" s="13"/>
      <c r="C186" s="13"/>
      <c r="E186" s="11"/>
      <c r="F186" s="12"/>
      <c r="G186" s="13"/>
    </row>
    <row r="187" spans="1:7" x14ac:dyDescent="0.25">
      <c r="A187" s="13"/>
      <c r="B187" s="13"/>
      <c r="C187" s="13"/>
      <c r="E187" s="11"/>
      <c r="F187" s="12"/>
      <c r="G187" s="13"/>
    </row>
    <row r="188" spans="1:7" x14ac:dyDescent="0.25">
      <c r="A188" s="13"/>
      <c r="B188" s="13"/>
      <c r="C188" s="13"/>
      <c r="E188" s="11"/>
      <c r="F188" s="12"/>
      <c r="G188" s="13"/>
    </row>
    <row r="189" spans="1:7" x14ac:dyDescent="0.25">
      <c r="A189" s="13"/>
      <c r="B189" s="13"/>
      <c r="C189" s="13"/>
      <c r="E189" s="11"/>
      <c r="F189" s="12"/>
      <c r="G189" s="13"/>
    </row>
    <row r="190" spans="1:7" x14ac:dyDescent="0.25">
      <c r="A190" s="13"/>
      <c r="B190" s="13"/>
      <c r="C190" s="13"/>
      <c r="E190" s="11"/>
      <c r="F190" s="12"/>
      <c r="G190" s="13"/>
    </row>
    <row r="191" spans="1:7" x14ac:dyDescent="0.25">
      <c r="A191" s="13"/>
      <c r="B191" s="13"/>
      <c r="C191" s="13"/>
      <c r="E191" s="11"/>
      <c r="F191" s="12"/>
      <c r="G191" s="13"/>
    </row>
    <row r="192" spans="1:7" x14ac:dyDescent="0.25">
      <c r="A192" s="13"/>
      <c r="B192" s="13"/>
      <c r="C192" s="13"/>
      <c r="E192" s="11"/>
      <c r="F192" s="12"/>
      <c r="G192" s="13"/>
    </row>
    <row r="193" spans="1:7" x14ac:dyDescent="0.25">
      <c r="A193" s="13"/>
      <c r="B193" s="13"/>
      <c r="C193" s="13"/>
      <c r="E193" s="11"/>
      <c r="F193" s="12"/>
      <c r="G193" s="13"/>
    </row>
    <row r="194" spans="1:7" x14ac:dyDescent="0.25">
      <c r="A194" s="13"/>
      <c r="B194" s="13"/>
      <c r="C194" s="13"/>
      <c r="E194" s="11"/>
      <c r="F194" s="12"/>
      <c r="G194" s="13"/>
    </row>
    <row r="195" spans="1:7" x14ac:dyDescent="0.25">
      <c r="A195" s="13"/>
      <c r="B195" s="13"/>
      <c r="C195" s="13"/>
      <c r="E195" s="11"/>
      <c r="F195" s="12"/>
      <c r="G195" s="13"/>
    </row>
    <row r="196" spans="1:7" x14ac:dyDescent="0.25">
      <c r="A196" s="13"/>
      <c r="B196" s="13"/>
      <c r="C196" s="13"/>
      <c r="E196" s="11"/>
      <c r="F196" s="12"/>
      <c r="G196" s="13"/>
    </row>
    <row r="197" spans="1:7" x14ac:dyDescent="0.25">
      <c r="A197" s="13"/>
      <c r="B197" s="13"/>
      <c r="C197" s="13"/>
      <c r="E197" s="11"/>
      <c r="F197" s="12"/>
      <c r="G197" s="13"/>
    </row>
    <row r="198" spans="1:7" x14ac:dyDescent="0.25">
      <c r="A198" s="13"/>
      <c r="B198" s="13"/>
      <c r="C198" s="13"/>
      <c r="E198" s="11"/>
      <c r="F198" s="12"/>
      <c r="G198" s="13"/>
    </row>
    <row r="199" spans="1:7" x14ac:dyDescent="0.25">
      <c r="A199" s="13"/>
      <c r="B199" s="13"/>
      <c r="C199" s="13"/>
      <c r="E199" s="11"/>
      <c r="F199" s="12"/>
      <c r="G199" s="13"/>
    </row>
    <row r="200" spans="1:7" x14ac:dyDescent="0.25">
      <c r="A200" s="13"/>
      <c r="B200" s="13"/>
      <c r="C200" s="13"/>
      <c r="E200" s="11"/>
      <c r="F200" s="12"/>
      <c r="G200" s="13"/>
    </row>
    <row r="201" spans="1:7" x14ac:dyDescent="0.25">
      <c r="A201" s="13"/>
      <c r="B201" s="13"/>
      <c r="C201" s="13"/>
      <c r="E201" s="11"/>
      <c r="F201" s="12"/>
      <c r="G201" s="13"/>
    </row>
    <row r="202" spans="1:7" x14ac:dyDescent="0.25">
      <c r="A202" s="13"/>
      <c r="B202" s="13"/>
      <c r="C202" s="13"/>
      <c r="E202" s="11"/>
      <c r="F202" s="12"/>
      <c r="G202" s="13"/>
    </row>
    <row r="203" spans="1:7" x14ac:dyDescent="0.25">
      <c r="A203" s="13"/>
      <c r="B203" s="13"/>
      <c r="C203" s="13"/>
      <c r="E203" s="11"/>
      <c r="F203" s="12"/>
      <c r="G203" s="13"/>
    </row>
    <row r="204" spans="1:7" x14ac:dyDescent="0.25">
      <c r="A204" s="13"/>
      <c r="B204" s="13"/>
      <c r="C204" s="13"/>
      <c r="E204" s="11"/>
      <c r="F204" s="12"/>
      <c r="G204" s="13"/>
    </row>
  </sheetData>
  <mergeCells count="1">
    <mergeCell ref="A1:Q1"/>
  </mergeCells>
  <dataValidations count="1">
    <dataValidation type="list" allowBlank="1" showInputMessage="1" showErrorMessage="1" sqref="D5:D204" xr:uid="{77DD8879-D937-48BB-A731-C7E153C8566F}">
      <formula1>"Sala de Mistura,FETTE 2090,FETTE 2,Mediseal,Blisterflex,Granulação"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7E872-8233-4686-9B0F-012FC3AC29C5}">
  <sheetPr codeName="Planilha5">
    <tabColor rgb="FF1F3A5F"/>
  </sheetPr>
  <dimension ref="A1:N13"/>
  <sheetViews>
    <sheetView showGridLines="0" workbookViewId="0">
      <selection activeCell="F3" sqref="F3"/>
    </sheetView>
  </sheetViews>
  <sheetFormatPr defaultRowHeight="12.75" x14ac:dyDescent="0.2"/>
  <cols>
    <col min="1" max="1" width="2.7109375" style="51" customWidth="1"/>
    <col min="2" max="2" width="12.7109375" style="51" customWidth="1"/>
    <col min="3" max="3" width="30.7109375" style="51" customWidth="1"/>
    <col min="4" max="5" width="16.7109375" style="51" customWidth="1"/>
    <col min="6" max="7" width="17.7109375" style="51" customWidth="1"/>
    <col min="8" max="8" width="22.7109375" style="51" customWidth="1"/>
    <col min="9" max="9" width="16.7109375" style="51" customWidth="1"/>
    <col min="10" max="10" width="3.7109375" style="51" customWidth="1"/>
    <col min="11" max="14" width="0" style="51" hidden="1" customWidth="1"/>
    <col min="15" max="16384" width="9.140625" style="51"/>
  </cols>
  <sheetData>
    <row r="1" spans="1:14" ht="30" customHeight="1" x14ac:dyDescent="0.2">
      <c r="A1" s="52"/>
      <c r="B1" s="53" t="s">
        <v>121</v>
      </c>
      <c r="C1" s="52"/>
      <c r="D1" s="52"/>
      <c r="E1" s="52"/>
      <c r="F1" s="52"/>
      <c r="G1" s="52"/>
      <c r="H1" s="52"/>
      <c r="I1" s="54" t="s">
        <v>122</v>
      </c>
      <c r="J1" s="52"/>
      <c r="K1" s="51" t="s">
        <v>135</v>
      </c>
      <c r="L1" s="51" t="s">
        <v>136</v>
      </c>
      <c r="M1" s="51" t="s">
        <v>137</v>
      </c>
      <c r="N1" s="51" t="s">
        <v>132</v>
      </c>
    </row>
    <row r="2" spans="1:14" x14ac:dyDescent="0.2">
      <c r="B2" s="55" t="s">
        <v>123</v>
      </c>
      <c r="K2" s="51" t="s">
        <v>138</v>
      </c>
      <c r="L2" s="51">
        <v>2021</v>
      </c>
      <c r="M2" s="51" t="s">
        <v>78</v>
      </c>
      <c r="N2" s="51" t="s">
        <v>134</v>
      </c>
    </row>
    <row r="3" spans="1:14" x14ac:dyDescent="0.2">
      <c r="B3" s="56" t="s">
        <v>124</v>
      </c>
      <c r="C3" s="56" t="s">
        <v>125</v>
      </c>
      <c r="D3" s="56" t="s">
        <v>126</v>
      </c>
      <c r="E3" s="56" t="s">
        <v>127</v>
      </c>
      <c r="K3" s="51" t="s">
        <v>139</v>
      </c>
      <c r="L3" s="51">
        <v>2022</v>
      </c>
      <c r="M3" s="51" t="s">
        <v>79</v>
      </c>
      <c r="N3" s="51" t="s">
        <v>128</v>
      </c>
    </row>
    <row r="4" spans="1:14" ht="24" customHeight="1" x14ac:dyDescent="0.2">
      <c r="B4" s="57" t="s">
        <v>133</v>
      </c>
      <c r="C4" s="57">
        <v>2026</v>
      </c>
      <c r="D4" s="57" t="s">
        <v>72</v>
      </c>
      <c r="E4" s="57" t="s">
        <v>134</v>
      </c>
      <c r="K4" s="51" t="s">
        <v>140</v>
      </c>
      <c r="L4" s="51">
        <v>2023</v>
      </c>
      <c r="M4" s="51" t="s">
        <v>36</v>
      </c>
      <c r="N4" s="51" t="s">
        <v>3</v>
      </c>
    </row>
    <row r="5" spans="1:14" x14ac:dyDescent="0.2">
      <c r="K5" s="51" t="s">
        <v>141</v>
      </c>
      <c r="L5" s="51">
        <v>2024</v>
      </c>
      <c r="M5" s="51" t="s">
        <v>37</v>
      </c>
      <c r="N5" s="51" t="s">
        <v>75</v>
      </c>
    </row>
    <row r="6" spans="1:14" ht="20.100000000000001" customHeight="1" x14ac:dyDescent="0.2">
      <c r="B6" s="58" t="s">
        <v>75</v>
      </c>
      <c r="C6" s="62"/>
      <c r="D6" s="64" t="s">
        <v>3</v>
      </c>
      <c r="E6" s="62"/>
      <c r="F6" s="66" t="s">
        <v>128</v>
      </c>
      <c r="G6" s="62"/>
      <c r="H6" s="68" t="s">
        <v>129</v>
      </c>
      <c r="I6" s="59"/>
      <c r="K6" s="51" t="s">
        <v>142</v>
      </c>
      <c r="L6" s="51">
        <v>2025</v>
      </c>
      <c r="M6" s="51" t="s">
        <v>72</v>
      </c>
      <c r="N6" s="51" t="s">
        <v>129</v>
      </c>
    </row>
    <row r="7" spans="1:14" ht="33.950000000000003" customHeight="1" x14ac:dyDescent="0.2">
      <c r="B7" s="60">
        <v>1</v>
      </c>
      <c r="C7" s="63"/>
      <c r="D7" s="65">
        <v>0</v>
      </c>
      <c r="E7" s="63"/>
      <c r="F7" s="67">
        <v>0</v>
      </c>
      <c r="G7" s="63"/>
      <c r="H7" s="69">
        <v>0</v>
      </c>
      <c r="I7" s="61"/>
      <c r="K7" s="51" t="s">
        <v>143</v>
      </c>
      <c r="L7" s="51">
        <v>2026</v>
      </c>
      <c r="M7" s="51" t="s">
        <v>80</v>
      </c>
      <c r="N7" s="51" t="s">
        <v>149</v>
      </c>
    </row>
    <row r="8" spans="1:14" ht="20.100000000000001" customHeight="1" x14ac:dyDescent="0.2">
      <c r="B8" s="70" t="s">
        <v>151</v>
      </c>
      <c r="K8" s="51" t="s">
        <v>144</v>
      </c>
      <c r="L8" s="51">
        <v>2027</v>
      </c>
      <c r="M8" s="51" t="s">
        <v>81</v>
      </c>
      <c r="N8" s="51" t="s">
        <v>150</v>
      </c>
    </row>
    <row r="9" spans="1:14" ht="21.95" customHeight="1" x14ac:dyDescent="0.25">
      <c r="B9" s="71" t="s">
        <v>152</v>
      </c>
      <c r="K9" s="51" t="s">
        <v>145</v>
      </c>
      <c r="L9" s="51">
        <v>2028</v>
      </c>
    </row>
    <row r="10" spans="1:14" ht="30" customHeight="1" x14ac:dyDescent="0.2">
      <c r="B10" s="72" t="s">
        <v>67</v>
      </c>
      <c r="C10" s="72" t="s">
        <v>41</v>
      </c>
      <c r="D10" s="72" t="s">
        <v>42</v>
      </c>
      <c r="E10" s="72" t="s">
        <v>43</v>
      </c>
      <c r="F10" s="72" t="s">
        <v>117</v>
      </c>
      <c r="G10" s="72" t="s">
        <v>130</v>
      </c>
      <c r="H10" s="73" t="s">
        <v>131</v>
      </c>
      <c r="I10" s="73" t="s">
        <v>132</v>
      </c>
      <c r="K10" s="51" t="s">
        <v>146</v>
      </c>
      <c r="L10" s="51">
        <v>2029</v>
      </c>
    </row>
    <row r="11" spans="1:14" ht="20.100000000000001" customHeight="1" x14ac:dyDescent="0.2">
      <c r="B11" s="77" t="s">
        <v>73</v>
      </c>
      <c r="C11" s="74" t="s">
        <v>70</v>
      </c>
      <c r="D11" s="74" t="s">
        <v>71</v>
      </c>
      <c r="E11" s="74" t="s">
        <v>72</v>
      </c>
      <c r="F11" s="75">
        <v>46306.416666666664</v>
      </c>
      <c r="G11" s="75">
        <v>46307.055555555555</v>
      </c>
      <c r="H11" s="76">
        <v>4000</v>
      </c>
      <c r="I11" s="78" t="s">
        <v>75</v>
      </c>
      <c r="K11" s="51" t="s">
        <v>133</v>
      </c>
      <c r="L11" s="51">
        <v>2030</v>
      </c>
    </row>
    <row r="12" spans="1:14" ht="20.100000000000001" customHeight="1" x14ac:dyDescent="0.2">
      <c r="K12" s="51" t="s">
        <v>147</v>
      </c>
      <c r="L12" s="51">
        <v>2031</v>
      </c>
    </row>
    <row r="13" spans="1:14" x14ac:dyDescent="0.2">
      <c r="K13" s="51" t="s">
        <v>148</v>
      </c>
    </row>
  </sheetData>
  <sheetProtection sheet="1" objects="1" scenarios="1"/>
  <mergeCells count="8">
    <mergeCell ref="H6:I6"/>
    <mergeCell ref="H7:I7"/>
    <mergeCell ref="B6:C6"/>
    <mergeCell ref="B7:C7"/>
    <mergeCell ref="D6:E6"/>
    <mergeCell ref="D7:E7"/>
    <mergeCell ref="F6:G6"/>
    <mergeCell ref="F7:G7"/>
  </mergeCells>
  <dataValidations count="4">
    <dataValidation type="list" showInputMessage="1" showErrorMessage="1" errorTitle="Visão Geral Mensal" error="Escolha um valor da lista." sqref="B4" xr:uid="{63CFED56-C257-448C-93DD-40445F9357CE}">
      <formula1>$K$2:$K$13</formula1>
    </dataValidation>
    <dataValidation type="list" showInputMessage="1" showErrorMessage="1" errorTitle="Visão Geral Mensal" error="Escolha um valor da lista." sqref="C4" xr:uid="{533D0950-D3DD-4C87-9103-8A334FF367D3}">
      <formula1>$L$2:$L$12</formula1>
    </dataValidation>
    <dataValidation type="list" showInputMessage="1" showErrorMessage="1" errorTitle="Visão Geral Mensal" error="Escolha um valor da lista." sqref="D4" xr:uid="{9565E150-F82A-45A8-8F0D-D69B5B9D5573}">
      <formula1>$M$2:$M$8</formula1>
    </dataValidation>
    <dataValidation type="list" showInputMessage="1" showErrorMessage="1" errorTitle="Visão Geral Mensal" error="Escolha um valor da lista." sqref="E4" xr:uid="{BE843052-8C54-4F77-B335-C0D80F825E78}">
      <formula1>$N$2:$N$8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00_Dashboard</vt:lpstr>
      <vt:lpstr>1_Planejamento</vt:lpstr>
      <vt:lpstr>02_Operacoes</vt:lpstr>
      <vt:lpstr>Painel</vt:lpstr>
      <vt:lpstr>SAP</vt:lpstr>
      <vt:lpstr>Visão Geral Mensal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jose Robson Lisboa</cp:lastModifiedBy>
  <dcterms:created xsi:type="dcterms:W3CDTF">2026-09-17T03:56:23Z</dcterms:created>
  <dcterms:modified xsi:type="dcterms:W3CDTF">2026-10-21T04:18:56Z</dcterms:modified>
</cp:coreProperties>
</file>